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7337427f4de1b18/Desktop/College Papers Done/"/>
    </mc:Choice>
  </mc:AlternateContent>
  <xr:revisionPtr revIDLastSave="0" documentId="13_ncr:1_{69487CFA-7C39-476F-AE1A-9348D8254764}" xr6:coauthVersionLast="47" xr6:coauthVersionMax="47" xr10:uidLastSave="{00000000-0000-0000-0000-000000000000}"/>
  <bookViews>
    <workbookView xWindow="-120" yWindow="-120" windowWidth="38640" windowHeight="21120" xr2:uid="{0EDA89DE-6762-4F9D-B2A7-6402E0F175B2}"/>
  </bookViews>
  <sheets>
    <sheet name="M&amp;M Data" sheetId="2" r:id="rId1"/>
    <sheet name="X and R Chart" sheetId="1" r:id="rId2"/>
    <sheet name="Red" sheetId="3" r:id="rId3"/>
    <sheet name="Blue" sheetId="4" r:id="rId4"/>
    <sheet name="Green" sheetId="5" r:id="rId5"/>
    <sheet name="Yellow" sheetId="6" r:id="rId6"/>
    <sheet name="Orange" sheetId="7" r:id="rId7"/>
    <sheet name="Brown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4" i="2" l="1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AH25" i="2"/>
  <c r="AG25" i="2"/>
  <c r="AF25" i="2"/>
  <c r="AE25" i="2"/>
  <c r="AD25" i="2"/>
  <c r="AC25" i="2"/>
  <c r="AB25" i="2"/>
  <c r="AA25" i="2"/>
  <c r="Z25" i="2"/>
  <c r="Y25" i="2"/>
  <c r="X25" i="2"/>
  <c r="W25" i="2"/>
  <c r="U25" i="2"/>
  <c r="S25" i="2"/>
  <c r="R25" i="2"/>
  <c r="Q25" i="2"/>
  <c r="W18" i="2"/>
  <c r="V18" i="2"/>
  <c r="U18" i="2"/>
  <c r="T18" i="2"/>
  <c r="S18" i="2"/>
  <c r="R18" i="2"/>
  <c r="B63" i="2"/>
  <c r="R15" i="2" s="1"/>
  <c r="W14" i="2"/>
  <c r="V14" i="2"/>
  <c r="U14" i="2"/>
  <c r="T14" i="2"/>
  <c r="I63" i="2"/>
  <c r="T15" i="2" s="1"/>
  <c r="H63" i="2"/>
  <c r="G63" i="2"/>
  <c r="F63" i="2"/>
  <c r="E63" i="2"/>
  <c r="D63" i="2"/>
  <c r="C63" i="2"/>
  <c r="R14" i="2" s="1"/>
  <c r="L5" i="2"/>
  <c r="K5" i="2"/>
  <c r="J5" i="2"/>
  <c r="J4" i="2"/>
  <c r="J3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L3" i="2"/>
  <c r="L4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K3" i="2"/>
  <c r="K4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I18" i="1"/>
  <c r="K29" i="1" s="1"/>
  <c r="H18" i="1"/>
  <c r="E33" i="1" s="1"/>
  <c r="F23" i="1" l="1"/>
  <c r="F26" i="1"/>
  <c r="G30" i="1"/>
  <c r="E32" i="1"/>
  <c r="I35" i="1"/>
  <c r="K23" i="1"/>
  <c r="J26" i="1"/>
  <c r="K28" i="1"/>
  <c r="F32" i="1"/>
  <c r="J32" i="1"/>
  <c r="F37" i="1"/>
  <c r="F25" i="1"/>
  <c r="G29" i="1"/>
  <c r="E31" i="1"/>
  <c r="I34" i="1"/>
  <c r="J37" i="1"/>
  <c r="J25" i="1"/>
  <c r="K27" i="1"/>
  <c r="G24" i="1"/>
  <c r="G35" i="1"/>
  <c r="G34" i="1"/>
  <c r="J30" i="1"/>
  <c r="F36" i="1"/>
  <c r="F24" i="1"/>
  <c r="G28" i="1"/>
  <c r="E30" i="1"/>
  <c r="I33" i="1"/>
  <c r="J36" i="1"/>
  <c r="J24" i="1"/>
  <c r="K26" i="1"/>
  <c r="G36" i="1"/>
  <c r="F31" i="1"/>
  <c r="J31" i="1"/>
  <c r="E29" i="1"/>
  <c r="K25" i="1"/>
  <c r="E26" i="1"/>
  <c r="F35" i="1"/>
  <c r="J23" i="1"/>
  <c r="G27" i="1"/>
  <c r="I32" i="1"/>
  <c r="J35" i="1"/>
  <c r="K37" i="1"/>
  <c r="F34" i="1"/>
  <c r="G23" i="1"/>
  <c r="G26" i="1"/>
  <c r="E28" i="1"/>
  <c r="I31" i="1"/>
  <c r="J34" i="1"/>
  <c r="K36" i="1"/>
  <c r="K24" i="1"/>
  <c r="F33" i="1"/>
  <c r="G37" i="1"/>
  <c r="G25" i="1"/>
  <c r="E27" i="1"/>
  <c r="I30" i="1"/>
  <c r="J33" i="1"/>
  <c r="K35" i="1"/>
  <c r="K34" i="1"/>
  <c r="F29" i="1"/>
  <c r="G33" i="1"/>
  <c r="E35" i="1"/>
  <c r="I23" i="1"/>
  <c r="I26" i="1"/>
  <c r="J29" i="1"/>
  <c r="K31" i="1"/>
  <c r="E25" i="1"/>
  <c r="I28" i="1"/>
  <c r="K33" i="1"/>
  <c r="F30" i="1"/>
  <c r="E36" i="1"/>
  <c r="I27" i="1"/>
  <c r="K32" i="1"/>
  <c r="F28" i="1"/>
  <c r="G32" i="1"/>
  <c r="E34" i="1"/>
  <c r="I37" i="1"/>
  <c r="I25" i="1"/>
  <c r="J28" i="1"/>
  <c r="K30" i="1"/>
  <c r="I29" i="1"/>
  <c r="E37" i="1"/>
  <c r="E24" i="1"/>
  <c r="E23" i="1"/>
  <c r="F27" i="1"/>
  <c r="G31" i="1"/>
  <c r="I36" i="1"/>
  <c r="I24" i="1"/>
  <c r="J27" i="1"/>
  <c r="R16" i="2"/>
  <c r="R19" i="2" s="1"/>
  <c r="S16" i="2"/>
  <c r="S17" i="2" s="1"/>
  <c r="T16" i="2"/>
  <c r="T19" i="2" s="1"/>
  <c r="U16" i="2"/>
  <c r="U19" i="2" s="1"/>
  <c r="S15" i="2"/>
  <c r="W15" i="2"/>
  <c r="W16" i="2" s="1"/>
  <c r="V15" i="2"/>
  <c r="V16" i="2" s="1"/>
  <c r="U15" i="2"/>
  <c r="V37" i="2" l="1"/>
  <c r="V49" i="2"/>
  <c r="V61" i="2"/>
  <c r="V73" i="2"/>
  <c r="V50" i="2"/>
  <c r="V77" i="2"/>
  <c r="V30" i="2"/>
  <c r="V78" i="2"/>
  <c r="V79" i="2"/>
  <c r="V56" i="2"/>
  <c r="V26" i="2"/>
  <c r="V38" i="2"/>
  <c r="V62" i="2"/>
  <c r="V74" i="2"/>
  <c r="V66" i="2"/>
  <c r="V31" i="2"/>
  <c r="V32" i="2"/>
  <c r="V27" i="2"/>
  <c r="V39" i="2"/>
  <c r="V51" i="2"/>
  <c r="V63" i="2"/>
  <c r="V75" i="2"/>
  <c r="V28" i="2"/>
  <c r="V40" i="2"/>
  <c r="V52" i="2"/>
  <c r="V64" i="2"/>
  <c r="V76" i="2"/>
  <c r="V29" i="2"/>
  <c r="V41" i="2"/>
  <c r="V53" i="2"/>
  <c r="V65" i="2"/>
  <c r="V55" i="2"/>
  <c r="V33" i="2"/>
  <c r="V45" i="2"/>
  <c r="V57" i="2"/>
  <c r="V69" i="2"/>
  <c r="V81" i="2"/>
  <c r="V46" i="2"/>
  <c r="V58" i="2"/>
  <c r="V70" i="2"/>
  <c r="V82" i="2"/>
  <c r="V44" i="2"/>
  <c r="V25" i="2"/>
  <c r="V34" i="2"/>
  <c r="V35" i="2"/>
  <c r="V47" i="2"/>
  <c r="V59" i="2"/>
  <c r="V71" i="2"/>
  <c r="V83" i="2"/>
  <c r="V48" i="2"/>
  <c r="V72" i="2"/>
  <c r="V84" i="2"/>
  <c r="V42" i="2"/>
  <c r="V67" i="2"/>
  <c r="V80" i="2"/>
  <c r="V36" i="2"/>
  <c r="V60" i="2"/>
  <c r="V54" i="2"/>
  <c r="V43" i="2"/>
  <c r="V68" i="2"/>
  <c r="V19" i="2"/>
  <c r="V17" i="2"/>
  <c r="W17" i="2"/>
  <c r="W19" i="2"/>
  <c r="T17" i="2"/>
  <c r="U17" i="2"/>
  <c r="R17" i="2"/>
  <c r="S19" i="2"/>
  <c r="T27" i="2" l="1"/>
  <c r="T39" i="2"/>
  <c r="T51" i="2"/>
  <c r="T63" i="2"/>
  <c r="T75" i="2"/>
  <c r="T40" i="2"/>
  <c r="T64" i="2"/>
  <c r="T31" i="2"/>
  <c r="T43" i="2"/>
  <c r="T55" i="2"/>
  <c r="T67" i="2"/>
  <c r="T79" i="2"/>
  <c r="T44" i="2"/>
  <c r="T57" i="2"/>
  <c r="T82" i="2"/>
  <c r="T28" i="2"/>
  <c r="T52" i="2"/>
  <c r="T76" i="2"/>
  <c r="T32" i="2"/>
  <c r="T69" i="2"/>
  <c r="T58" i="2"/>
  <c r="T29" i="2"/>
  <c r="T41" i="2"/>
  <c r="T53" i="2"/>
  <c r="T65" i="2"/>
  <c r="T77" i="2"/>
  <c r="T30" i="2"/>
  <c r="T42" i="2"/>
  <c r="T54" i="2"/>
  <c r="T66" i="2"/>
  <c r="T78" i="2"/>
  <c r="T68" i="2"/>
  <c r="T45" i="2"/>
  <c r="T35" i="2"/>
  <c r="T47" i="2"/>
  <c r="T59" i="2"/>
  <c r="T71" i="2"/>
  <c r="T83" i="2"/>
  <c r="T36" i="2"/>
  <c r="T48" i="2"/>
  <c r="T60" i="2"/>
  <c r="T72" i="2"/>
  <c r="T84" i="2"/>
  <c r="T25" i="2"/>
  <c r="T46" i="2"/>
  <c r="T37" i="2"/>
  <c r="T49" i="2"/>
  <c r="T61" i="2"/>
  <c r="T73" i="2"/>
  <c r="T26" i="2"/>
  <c r="T38" i="2"/>
  <c r="T62" i="2"/>
  <c r="T74" i="2"/>
  <c r="T56" i="2"/>
  <c r="T81" i="2"/>
  <c r="T70" i="2"/>
  <c r="T50" i="2"/>
  <c r="T80" i="2"/>
  <c r="T33" i="2"/>
  <c r="T34" i="2"/>
</calcChain>
</file>

<file path=xl/sharedStrings.xml><?xml version="1.0" encoding="utf-8"?>
<sst xmlns="http://schemas.openxmlformats.org/spreadsheetml/2006/main" count="95" uniqueCount="50">
  <si>
    <t>#1</t>
  </si>
  <si>
    <t>#2</t>
  </si>
  <si>
    <t>#3</t>
  </si>
  <si>
    <t>#4</t>
  </si>
  <si>
    <t>Average</t>
  </si>
  <si>
    <t>Range</t>
  </si>
  <si>
    <t>Average Weight</t>
  </si>
  <si>
    <t>Average Range</t>
  </si>
  <si>
    <t>X-Bar Chart</t>
  </si>
  <si>
    <t>LCL</t>
  </si>
  <si>
    <t>CL</t>
  </si>
  <si>
    <t>UCL</t>
  </si>
  <si>
    <t>R Chart</t>
  </si>
  <si>
    <t>Control Chart Factors</t>
  </si>
  <si>
    <t>A2</t>
  </si>
  <si>
    <t>D3</t>
  </si>
  <si>
    <t>D4</t>
  </si>
  <si>
    <t>n=4</t>
  </si>
  <si>
    <t>60 Bags</t>
  </si>
  <si>
    <t>15 Groups</t>
  </si>
  <si>
    <t>Sample Size:</t>
  </si>
  <si>
    <t>X-DblBar</t>
  </si>
  <si>
    <t>R-Bar</t>
  </si>
  <si>
    <t>X-DblBar-A2*R-Bar</t>
  </si>
  <si>
    <t>X-Bar</t>
  </si>
  <si>
    <t>X-DblBar+A2*R-Bar</t>
  </si>
  <si>
    <t>D4*R-Bar</t>
  </si>
  <si>
    <t>D3*R-Bar</t>
  </si>
  <si>
    <t>M&amp;M Bag</t>
  </si>
  <si>
    <t>Red %</t>
  </si>
  <si>
    <t>Blue%</t>
  </si>
  <si>
    <t>Green %</t>
  </si>
  <si>
    <t>Yellow %</t>
  </si>
  <si>
    <t>Orange %</t>
  </si>
  <si>
    <t>Brown %</t>
  </si>
  <si>
    <t>Red</t>
  </si>
  <si>
    <t>Blue</t>
  </si>
  <si>
    <t>Green</t>
  </si>
  <si>
    <t>Yellow</t>
  </si>
  <si>
    <t>Orange</t>
  </si>
  <si>
    <t>Brown</t>
  </si>
  <si>
    <t>https://www.spcforexcel.com/knowledge/attribute-control-charts/p-control-charts</t>
  </si>
  <si>
    <t>p Value</t>
  </si>
  <si>
    <t>n Value</t>
  </si>
  <si>
    <t>Averages</t>
  </si>
  <si>
    <t>Color</t>
  </si>
  <si>
    <t>Ratio</t>
  </si>
  <si>
    <t>Total</t>
  </si>
  <si>
    <t>Square Root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</si>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</sst>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1" applyFont="1"/>
    <xf numFmtId="9" fontId="0" fillId="0" borderId="0" xfId="0" applyNumberFormat="1"/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2" fillId="0" borderId="0" xfId="2"/>
    <xf numFmtId="0" fontId="0" fillId="0" borderId="0" xfId="0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7"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78009"/>
      <color rgb="FF7B421F"/>
      <color rgb="FF713D1D"/>
      <color rgb="FFAA5C2C"/>
      <color rgb="FFC43C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X-Bar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Sample Average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'X and R Chart'!$H$3:$H$17</c:f>
              <c:numCache>
                <c:formatCode>General</c:formatCode>
                <c:ptCount val="15"/>
                <c:pt idx="0">
                  <c:v>48.399000000000001</c:v>
                </c:pt>
                <c:pt idx="1">
                  <c:v>49.945999999999998</c:v>
                </c:pt>
                <c:pt idx="2">
                  <c:v>48.399000000000001</c:v>
                </c:pt>
                <c:pt idx="3">
                  <c:v>48.62</c:v>
                </c:pt>
                <c:pt idx="4">
                  <c:v>47.957000000000001</c:v>
                </c:pt>
                <c:pt idx="5">
                  <c:v>49.503999999999998</c:v>
                </c:pt>
                <c:pt idx="6">
                  <c:v>49.283000000000001</c:v>
                </c:pt>
                <c:pt idx="7">
                  <c:v>49.061999999999998</c:v>
                </c:pt>
                <c:pt idx="8">
                  <c:v>49.283000000000001</c:v>
                </c:pt>
                <c:pt idx="9">
                  <c:v>49.283000000000001</c:v>
                </c:pt>
                <c:pt idx="10">
                  <c:v>48.62</c:v>
                </c:pt>
                <c:pt idx="11">
                  <c:v>48.177999999999997</c:v>
                </c:pt>
                <c:pt idx="12">
                  <c:v>49.945999999999998</c:v>
                </c:pt>
                <c:pt idx="13">
                  <c:v>48.841000000000001</c:v>
                </c:pt>
                <c:pt idx="14">
                  <c:v>48.62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0E-430C-BA76-C6666B43F4D6}"/>
            </c:ext>
          </c:extLst>
        </c:ser>
        <c:ser>
          <c:idx val="1"/>
          <c:order val="1"/>
          <c:tx>
            <c:v>LCL 47.255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'X and R Chart'!$E$23:$E$37</c:f>
              <c:numCache>
                <c:formatCode>0.000</c:formatCode>
                <c:ptCount val="15"/>
                <c:pt idx="0">
                  <c:v>47.255178600000001</c:v>
                </c:pt>
                <c:pt idx="1">
                  <c:v>47.255178600000001</c:v>
                </c:pt>
                <c:pt idx="2">
                  <c:v>47.255178600000001</c:v>
                </c:pt>
                <c:pt idx="3">
                  <c:v>47.255178600000001</c:v>
                </c:pt>
                <c:pt idx="4">
                  <c:v>47.255178600000001</c:v>
                </c:pt>
                <c:pt idx="5">
                  <c:v>47.255178600000001</c:v>
                </c:pt>
                <c:pt idx="6">
                  <c:v>47.255178600000001</c:v>
                </c:pt>
                <c:pt idx="7">
                  <c:v>47.255178600000001</c:v>
                </c:pt>
                <c:pt idx="8">
                  <c:v>47.255178600000001</c:v>
                </c:pt>
                <c:pt idx="9">
                  <c:v>47.255178600000001</c:v>
                </c:pt>
                <c:pt idx="10">
                  <c:v>47.255178600000001</c:v>
                </c:pt>
                <c:pt idx="11">
                  <c:v>47.255178600000001</c:v>
                </c:pt>
                <c:pt idx="12">
                  <c:v>47.255178600000001</c:v>
                </c:pt>
                <c:pt idx="13">
                  <c:v>47.255178600000001</c:v>
                </c:pt>
                <c:pt idx="14">
                  <c:v>47.255178600000001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0E-430C-BA76-C6666B43F4D6}"/>
            </c:ext>
          </c:extLst>
        </c:ser>
        <c:ser>
          <c:idx val="2"/>
          <c:order val="2"/>
          <c:tx>
            <c:v>CL 48.929</c:v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'X and R Chart'!$F$23:$F$37</c:f>
              <c:numCache>
                <c:formatCode>0.000</c:formatCode>
                <c:ptCount val="15"/>
                <c:pt idx="0">
                  <c:v>48.929400000000001</c:v>
                </c:pt>
                <c:pt idx="1">
                  <c:v>48.929400000000001</c:v>
                </c:pt>
                <c:pt idx="2">
                  <c:v>48.929400000000001</c:v>
                </c:pt>
                <c:pt idx="3">
                  <c:v>48.929400000000001</c:v>
                </c:pt>
                <c:pt idx="4">
                  <c:v>48.929400000000001</c:v>
                </c:pt>
                <c:pt idx="5">
                  <c:v>48.929400000000001</c:v>
                </c:pt>
                <c:pt idx="6">
                  <c:v>48.929400000000001</c:v>
                </c:pt>
                <c:pt idx="7">
                  <c:v>48.929400000000001</c:v>
                </c:pt>
                <c:pt idx="8">
                  <c:v>48.929400000000001</c:v>
                </c:pt>
                <c:pt idx="9">
                  <c:v>48.929400000000001</c:v>
                </c:pt>
                <c:pt idx="10">
                  <c:v>48.929400000000001</c:v>
                </c:pt>
                <c:pt idx="11">
                  <c:v>48.929400000000001</c:v>
                </c:pt>
                <c:pt idx="12">
                  <c:v>48.929400000000001</c:v>
                </c:pt>
                <c:pt idx="13">
                  <c:v>48.929400000000001</c:v>
                </c:pt>
                <c:pt idx="14">
                  <c:v>48.929400000000001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0E-430C-BA76-C6666B43F4D6}"/>
            </c:ext>
          </c:extLst>
        </c:ser>
        <c:ser>
          <c:idx val="3"/>
          <c:order val="3"/>
          <c:tx>
            <c:v>UCL 50.604</c:v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'X and R Chart'!$G$23:$G$37</c:f>
              <c:numCache>
                <c:formatCode>0.000</c:formatCode>
                <c:ptCount val="15"/>
                <c:pt idx="0">
                  <c:v>50.603621400000002</c:v>
                </c:pt>
                <c:pt idx="1">
                  <c:v>50.603621400000002</c:v>
                </c:pt>
                <c:pt idx="2">
                  <c:v>50.603621400000002</c:v>
                </c:pt>
                <c:pt idx="3">
                  <c:v>50.603621400000002</c:v>
                </c:pt>
                <c:pt idx="4">
                  <c:v>50.603621400000002</c:v>
                </c:pt>
                <c:pt idx="5">
                  <c:v>50.603621400000002</c:v>
                </c:pt>
                <c:pt idx="6">
                  <c:v>50.603621400000002</c:v>
                </c:pt>
                <c:pt idx="7">
                  <c:v>50.603621400000002</c:v>
                </c:pt>
                <c:pt idx="8">
                  <c:v>50.603621400000002</c:v>
                </c:pt>
                <c:pt idx="9">
                  <c:v>50.603621400000002</c:v>
                </c:pt>
                <c:pt idx="10">
                  <c:v>50.603621400000002</c:v>
                </c:pt>
                <c:pt idx="11">
                  <c:v>50.603621400000002</c:v>
                </c:pt>
                <c:pt idx="12">
                  <c:v>50.603621400000002</c:v>
                </c:pt>
                <c:pt idx="13">
                  <c:v>50.603621400000002</c:v>
                </c:pt>
                <c:pt idx="14">
                  <c:v>50.603621400000002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0E-430C-BA76-C6666B43F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091599"/>
        <c:axId val="255089519"/>
      </c:lineChart>
      <c:catAx>
        <c:axId val="25509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</a:t>
                </a:r>
                <a:r>
                  <a:rPr lang="en-US" baseline="0"/>
                  <a:t>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089519"/>
        <c:crosses val="autoZero"/>
        <c:auto val="1"/>
        <c:lblAlgn val="ctr"/>
        <c:lblOffset val="100"/>
        <c:noMultiLvlLbl val="0"/>
      </c:catAx>
      <c:valAx>
        <c:axId val="25508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Weight</a:t>
                </a:r>
                <a:r>
                  <a:rPr lang="en-US" baseline="0"/>
                  <a:t> in Grams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09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Sample Range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'X and R Chart'!$I$3:$I$17</c:f>
              <c:numCache>
                <c:formatCode>General</c:formatCode>
                <c:ptCount val="15"/>
                <c:pt idx="0">
                  <c:v>3.536</c:v>
                </c:pt>
                <c:pt idx="1">
                  <c:v>1.768</c:v>
                </c:pt>
                <c:pt idx="2">
                  <c:v>1.768</c:v>
                </c:pt>
                <c:pt idx="3">
                  <c:v>0</c:v>
                </c:pt>
                <c:pt idx="4">
                  <c:v>4.42</c:v>
                </c:pt>
                <c:pt idx="5">
                  <c:v>1.768</c:v>
                </c:pt>
                <c:pt idx="6">
                  <c:v>2.6520000000000001</c:v>
                </c:pt>
                <c:pt idx="7">
                  <c:v>2.625</c:v>
                </c:pt>
                <c:pt idx="8">
                  <c:v>1.768</c:v>
                </c:pt>
                <c:pt idx="9">
                  <c:v>1.768</c:v>
                </c:pt>
                <c:pt idx="10">
                  <c:v>2.6520000000000001</c:v>
                </c:pt>
                <c:pt idx="11">
                  <c:v>3.536</c:v>
                </c:pt>
                <c:pt idx="12">
                  <c:v>2.6520000000000001</c:v>
                </c:pt>
                <c:pt idx="13">
                  <c:v>1.768</c:v>
                </c:pt>
                <c:pt idx="14">
                  <c:v>1.768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37-4631-8531-070DFECB69C0}"/>
            </c:ext>
          </c:extLst>
        </c:ser>
        <c:ser>
          <c:idx val="1"/>
          <c:order val="1"/>
          <c:tx>
            <c:v>LCL 0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'X and R Chart'!$I$23:$I$37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37-4631-8531-070DFECB69C0}"/>
            </c:ext>
          </c:extLst>
        </c:ser>
        <c:ser>
          <c:idx val="2"/>
          <c:order val="2"/>
          <c:tx>
            <c:v>CL 2.297</c:v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'X and R Chart'!$J$23:$J$37</c:f>
              <c:numCache>
                <c:formatCode>0.000</c:formatCode>
                <c:ptCount val="15"/>
                <c:pt idx="0">
                  <c:v>2.2966000000000002</c:v>
                </c:pt>
                <c:pt idx="1">
                  <c:v>2.2966000000000002</c:v>
                </c:pt>
                <c:pt idx="2">
                  <c:v>2.2966000000000002</c:v>
                </c:pt>
                <c:pt idx="3">
                  <c:v>2.2966000000000002</c:v>
                </c:pt>
                <c:pt idx="4">
                  <c:v>2.2966000000000002</c:v>
                </c:pt>
                <c:pt idx="5">
                  <c:v>2.2966000000000002</c:v>
                </c:pt>
                <c:pt idx="6">
                  <c:v>2.2966000000000002</c:v>
                </c:pt>
                <c:pt idx="7">
                  <c:v>2.2966000000000002</c:v>
                </c:pt>
                <c:pt idx="8">
                  <c:v>2.2966000000000002</c:v>
                </c:pt>
                <c:pt idx="9">
                  <c:v>2.2966000000000002</c:v>
                </c:pt>
                <c:pt idx="10">
                  <c:v>2.2966000000000002</c:v>
                </c:pt>
                <c:pt idx="11">
                  <c:v>2.2966000000000002</c:v>
                </c:pt>
                <c:pt idx="12">
                  <c:v>2.2966000000000002</c:v>
                </c:pt>
                <c:pt idx="13">
                  <c:v>2.2966000000000002</c:v>
                </c:pt>
                <c:pt idx="14">
                  <c:v>2.2966000000000002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37-4631-8531-070DFECB69C0}"/>
            </c:ext>
          </c:extLst>
        </c:ser>
        <c:ser>
          <c:idx val="3"/>
          <c:order val="3"/>
          <c:tx>
            <c:v>UCL 5.241</c:v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'X and R Chart'!$K$23:$K$37</c:f>
              <c:numCache>
                <c:formatCode>0.000</c:formatCode>
                <c:ptCount val="15"/>
                <c:pt idx="0">
                  <c:v>5.2408412000000002</c:v>
                </c:pt>
                <c:pt idx="1">
                  <c:v>5.2408412000000002</c:v>
                </c:pt>
                <c:pt idx="2">
                  <c:v>5.2408412000000002</c:v>
                </c:pt>
                <c:pt idx="3">
                  <c:v>5.2408412000000002</c:v>
                </c:pt>
                <c:pt idx="4">
                  <c:v>5.2408412000000002</c:v>
                </c:pt>
                <c:pt idx="5">
                  <c:v>5.2408412000000002</c:v>
                </c:pt>
                <c:pt idx="6">
                  <c:v>5.2408412000000002</c:v>
                </c:pt>
                <c:pt idx="7">
                  <c:v>5.2408412000000002</c:v>
                </c:pt>
                <c:pt idx="8">
                  <c:v>5.2408412000000002</c:v>
                </c:pt>
                <c:pt idx="9">
                  <c:v>5.2408412000000002</c:v>
                </c:pt>
                <c:pt idx="10">
                  <c:v>5.2408412000000002</c:v>
                </c:pt>
                <c:pt idx="11">
                  <c:v>5.2408412000000002</c:v>
                </c:pt>
                <c:pt idx="12">
                  <c:v>5.2408412000000002</c:v>
                </c:pt>
                <c:pt idx="13">
                  <c:v>5.2408412000000002</c:v>
                </c:pt>
                <c:pt idx="14">
                  <c:v>5.2408412000000002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37-4631-8531-070DFECB6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9835855"/>
        <c:axId val="439836271"/>
      </c:lineChart>
      <c:catAx>
        <c:axId val="439835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</a:t>
                </a:r>
                <a:r>
                  <a:rPr lang="en-US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836271"/>
        <c:crosses val="autoZero"/>
        <c:auto val="1"/>
        <c:lblAlgn val="ctr"/>
        <c:lblOffset val="100"/>
        <c:noMultiLvlLbl val="0"/>
      </c:catAx>
      <c:valAx>
        <c:axId val="4398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835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P-Chart:</a:t>
            </a:r>
            <a:r>
              <a:rPr lang="en-US" baseline="0"/>
              <a:t> 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LCL 0%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'M&amp;M Data'!$Q$25:$Q$84</c:f>
              <c:numCache>
                <c:formatCode>0.00</c:formatCode>
                <c:ptCount val="60"/>
                <c:pt idx="0">
                  <c:v>2.6709517568934693E-4</c:v>
                </c:pt>
                <c:pt idx="1">
                  <c:v>2.6709517568934693E-4</c:v>
                </c:pt>
                <c:pt idx="2">
                  <c:v>2.6709517568934693E-4</c:v>
                </c:pt>
                <c:pt idx="3">
                  <c:v>2.6709517568934693E-4</c:v>
                </c:pt>
                <c:pt idx="4">
                  <c:v>2.6709517568934693E-4</c:v>
                </c:pt>
                <c:pt idx="5">
                  <c:v>2.6709517568934693E-4</c:v>
                </c:pt>
                <c:pt idx="6">
                  <c:v>2.6709517568934693E-4</c:v>
                </c:pt>
                <c:pt idx="7">
                  <c:v>2.6709517568934693E-4</c:v>
                </c:pt>
                <c:pt idx="8">
                  <c:v>2.6709517568934693E-4</c:v>
                </c:pt>
                <c:pt idx="9">
                  <c:v>2.6709517568934693E-4</c:v>
                </c:pt>
                <c:pt idx="10">
                  <c:v>2.6709517568934693E-4</c:v>
                </c:pt>
                <c:pt idx="11">
                  <c:v>2.6709517568934693E-4</c:v>
                </c:pt>
                <c:pt idx="12">
                  <c:v>2.6709517568934693E-4</c:v>
                </c:pt>
                <c:pt idx="13">
                  <c:v>2.6709517568934693E-4</c:v>
                </c:pt>
                <c:pt idx="14">
                  <c:v>2.6709517568934693E-4</c:v>
                </c:pt>
                <c:pt idx="15">
                  <c:v>2.6709517568934693E-4</c:v>
                </c:pt>
                <c:pt idx="16">
                  <c:v>2.6709517568934693E-4</c:v>
                </c:pt>
                <c:pt idx="17">
                  <c:v>2.6709517568934693E-4</c:v>
                </c:pt>
                <c:pt idx="18">
                  <c:v>2.6709517568934693E-4</c:v>
                </c:pt>
                <c:pt idx="19">
                  <c:v>2.6709517568934693E-4</c:v>
                </c:pt>
                <c:pt idx="20">
                  <c:v>2.6709517568934693E-4</c:v>
                </c:pt>
                <c:pt idx="21">
                  <c:v>2.6709517568934693E-4</c:v>
                </c:pt>
                <c:pt idx="22">
                  <c:v>2.6709517568934693E-4</c:v>
                </c:pt>
                <c:pt idx="23">
                  <c:v>2.6709517568934693E-4</c:v>
                </c:pt>
                <c:pt idx="24">
                  <c:v>2.6709517568934693E-4</c:v>
                </c:pt>
                <c:pt idx="25">
                  <c:v>2.6709517568934693E-4</c:v>
                </c:pt>
                <c:pt idx="26">
                  <c:v>2.6709517568934693E-4</c:v>
                </c:pt>
                <c:pt idx="27">
                  <c:v>2.6709517568934693E-4</c:v>
                </c:pt>
                <c:pt idx="28">
                  <c:v>2.6709517568934693E-4</c:v>
                </c:pt>
                <c:pt idx="29">
                  <c:v>2.6709517568934693E-4</c:v>
                </c:pt>
                <c:pt idx="30">
                  <c:v>2.6709517568934693E-4</c:v>
                </c:pt>
                <c:pt idx="31">
                  <c:v>2.6709517568934693E-4</c:v>
                </c:pt>
                <c:pt idx="32">
                  <c:v>2.6709517568934693E-4</c:v>
                </c:pt>
                <c:pt idx="33">
                  <c:v>2.6709517568934693E-4</c:v>
                </c:pt>
                <c:pt idx="34">
                  <c:v>2.6709517568934693E-4</c:v>
                </c:pt>
                <c:pt idx="35">
                  <c:v>2.6709517568934693E-4</c:v>
                </c:pt>
                <c:pt idx="36">
                  <c:v>2.6709517568934693E-4</c:v>
                </c:pt>
                <c:pt idx="37">
                  <c:v>2.6709517568934693E-4</c:v>
                </c:pt>
                <c:pt idx="38">
                  <c:v>2.6709517568934693E-4</c:v>
                </c:pt>
                <c:pt idx="39">
                  <c:v>2.6709517568934693E-4</c:v>
                </c:pt>
                <c:pt idx="40">
                  <c:v>2.6709517568934693E-4</c:v>
                </c:pt>
                <c:pt idx="41">
                  <c:v>2.6709517568934693E-4</c:v>
                </c:pt>
                <c:pt idx="42">
                  <c:v>2.6709517568934693E-4</c:v>
                </c:pt>
                <c:pt idx="43">
                  <c:v>2.6709517568934693E-4</c:v>
                </c:pt>
                <c:pt idx="44">
                  <c:v>2.6709517568934693E-4</c:v>
                </c:pt>
                <c:pt idx="45">
                  <c:v>2.6709517568934693E-4</c:v>
                </c:pt>
                <c:pt idx="46">
                  <c:v>2.6709517568934693E-4</c:v>
                </c:pt>
                <c:pt idx="47">
                  <c:v>2.6709517568934693E-4</c:v>
                </c:pt>
                <c:pt idx="48">
                  <c:v>2.6709517568934693E-4</c:v>
                </c:pt>
                <c:pt idx="49">
                  <c:v>2.6709517568934693E-4</c:v>
                </c:pt>
                <c:pt idx="50">
                  <c:v>2.6709517568934693E-4</c:v>
                </c:pt>
                <c:pt idx="51">
                  <c:v>2.6709517568934693E-4</c:v>
                </c:pt>
                <c:pt idx="52">
                  <c:v>2.6709517568934693E-4</c:v>
                </c:pt>
                <c:pt idx="53">
                  <c:v>2.6709517568934693E-4</c:v>
                </c:pt>
                <c:pt idx="54">
                  <c:v>2.6709517568934693E-4</c:v>
                </c:pt>
                <c:pt idx="55">
                  <c:v>2.6709517568934693E-4</c:v>
                </c:pt>
                <c:pt idx="56">
                  <c:v>2.6709517568934693E-4</c:v>
                </c:pt>
                <c:pt idx="57">
                  <c:v>2.6709517568934693E-4</c:v>
                </c:pt>
                <c:pt idx="58">
                  <c:v>2.6709517568934693E-4</c:v>
                </c:pt>
                <c:pt idx="59">
                  <c:v>2.6709517568934693E-4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9F-4132-9F9A-6B3260A6B863}"/>
            </c:ext>
          </c:extLst>
        </c:ser>
        <c:ser>
          <c:idx val="1"/>
          <c:order val="1"/>
          <c:tx>
            <c:v>CL 13%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'M&amp;M Data'!$R$25:$R$84</c:f>
              <c:numCache>
                <c:formatCode>0.00</c:formatCode>
                <c:ptCount val="60"/>
                <c:pt idx="0">
                  <c:v>0.13</c:v>
                </c:pt>
                <c:pt idx="1">
                  <c:v>0.13</c:v>
                </c:pt>
                <c:pt idx="2">
                  <c:v>0.13</c:v>
                </c:pt>
                <c:pt idx="3">
                  <c:v>0.13</c:v>
                </c:pt>
                <c:pt idx="4">
                  <c:v>0.13</c:v>
                </c:pt>
                <c:pt idx="5">
                  <c:v>0.13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0.13</c:v>
                </c:pt>
                <c:pt idx="10">
                  <c:v>0.13</c:v>
                </c:pt>
                <c:pt idx="11">
                  <c:v>0.13</c:v>
                </c:pt>
                <c:pt idx="12">
                  <c:v>0.13</c:v>
                </c:pt>
                <c:pt idx="13">
                  <c:v>0.13</c:v>
                </c:pt>
                <c:pt idx="14">
                  <c:v>0.13</c:v>
                </c:pt>
                <c:pt idx="15">
                  <c:v>0.13</c:v>
                </c:pt>
                <c:pt idx="16">
                  <c:v>0.13</c:v>
                </c:pt>
                <c:pt idx="17">
                  <c:v>0.13</c:v>
                </c:pt>
                <c:pt idx="18">
                  <c:v>0.13</c:v>
                </c:pt>
                <c:pt idx="19">
                  <c:v>0.13</c:v>
                </c:pt>
                <c:pt idx="20">
                  <c:v>0.13</c:v>
                </c:pt>
                <c:pt idx="21">
                  <c:v>0.13</c:v>
                </c:pt>
                <c:pt idx="22">
                  <c:v>0.13</c:v>
                </c:pt>
                <c:pt idx="23">
                  <c:v>0.13</c:v>
                </c:pt>
                <c:pt idx="24">
                  <c:v>0.13</c:v>
                </c:pt>
                <c:pt idx="25">
                  <c:v>0.13</c:v>
                </c:pt>
                <c:pt idx="26">
                  <c:v>0.13</c:v>
                </c:pt>
                <c:pt idx="27">
                  <c:v>0.13</c:v>
                </c:pt>
                <c:pt idx="28">
                  <c:v>0.13</c:v>
                </c:pt>
                <c:pt idx="29">
                  <c:v>0.13</c:v>
                </c:pt>
                <c:pt idx="30">
                  <c:v>0.13</c:v>
                </c:pt>
                <c:pt idx="31">
                  <c:v>0.13</c:v>
                </c:pt>
                <c:pt idx="32">
                  <c:v>0.13</c:v>
                </c:pt>
                <c:pt idx="33">
                  <c:v>0.13</c:v>
                </c:pt>
                <c:pt idx="34">
                  <c:v>0.13</c:v>
                </c:pt>
                <c:pt idx="35">
                  <c:v>0.13</c:v>
                </c:pt>
                <c:pt idx="36">
                  <c:v>0.13</c:v>
                </c:pt>
                <c:pt idx="37">
                  <c:v>0.13</c:v>
                </c:pt>
                <c:pt idx="38">
                  <c:v>0.13</c:v>
                </c:pt>
                <c:pt idx="39">
                  <c:v>0.13</c:v>
                </c:pt>
                <c:pt idx="40">
                  <c:v>0.13</c:v>
                </c:pt>
                <c:pt idx="41">
                  <c:v>0.13</c:v>
                </c:pt>
                <c:pt idx="42">
                  <c:v>0.13</c:v>
                </c:pt>
                <c:pt idx="43">
                  <c:v>0.13</c:v>
                </c:pt>
                <c:pt idx="44">
                  <c:v>0.13</c:v>
                </c:pt>
                <c:pt idx="45">
                  <c:v>0.13</c:v>
                </c:pt>
                <c:pt idx="46">
                  <c:v>0.13</c:v>
                </c:pt>
                <c:pt idx="47">
                  <c:v>0.13</c:v>
                </c:pt>
                <c:pt idx="48">
                  <c:v>0.13</c:v>
                </c:pt>
                <c:pt idx="49">
                  <c:v>0.13</c:v>
                </c:pt>
                <c:pt idx="50">
                  <c:v>0.13</c:v>
                </c:pt>
                <c:pt idx="51">
                  <c:v>0.13</c:v>
                </c:pt>
                <c:pt idx="52">
                  <c:v>0.13</c:v>
                </c:pt>
                <c:pt idx="53">
                  <c:v>0.13</c:v>
                </c:pt>
                <c:pt idx="54">
                  <c:v>0.13</c:v>
                </c:pt>
                <c:pt idx="55">
                  <c:v>0.13</c:v>
                </c:pt>
                <c:pt idx="56">
                  <c:v>0.13</c:v>
                </c:pt>
                <c:pt idx="57">
                  <c:v>0.13</c:v>
                </c:pt>
                <c:pt idx="58">
                  <c:v>0.13</c:v>
                </c:pt>
                <c:pt idx="59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9F-4132-9F9A-6B3260A6B863}"/>
            </c:ext>
          </c:extLst>
        </c:ser>
        <c:ser>
          <c:idx val="2"/>
          <c:order val="2"/>
          <c:tx>
            <c:v>UCL 28%</c:v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'M&amp;M Data'!$S$25:$S$84</c:f>
              <c:numCache>
                <c:formatCode>0.00</c:formatCode>
                <c:ptCount val="60"/>
                <c:pt idx="0">
                  <c:v>0.28037126676348562</c:v>
                </c:pt>
                <c:pt idx="1">
                  <c:v>0.28037126676348562</c:v>
                </c:pt>
                <c:pt idx="2">
                  <c:v>0.28037126676348562</c:v>
                </c:pt>
                <c:pt idx="3">
                  <c:v>0.28037126676348562</c:v>
                </c:pt>
                <c:pt idx="4">
                  <c:v>0.28037126676348562</c:v>
                </c:pt>
                <c:pt idx="5">
                  <c:v>0.28037126676348562</c:v>
                </c:pt>
                <c:pt idx="6">
                  <c:v>0.28037126676348562</c:v>
                </c:pt>
                <c:pt idx="7">
                  <c:v>0.28037126676348562</c:v>
                </c:pt>
                <c:pt idx="8">
                  <c:v>0.28037126676348562</c:v>
                </c:pt>
                <c:pt idx="9">
                  <c:v>0.28037126676348562</c:v>
                </c:pt>
                <c:pt idx="10">
                  <c:v>0.28037126676348562</c:v>
                </c:pt>
                <c:pt idx="11">
                  <c:v>0.28037126676348562</c:v>
                </c:pt>
                <c:pt idx="12">
                  <c:v>0.28037126676348562</c:v>
                </c:pt>
                <c:pt idx="13">
                  <c:v>0.28037126676348562</c:v>
                </c:pt>
                <c:pt idx="14">
                  <c:v>0.28037126676348562</c:v>
                </c:pt>
                <c:pt idx="15">
                  <c:v>0.28037126676348562</c:v>
                </c:pt>
                <c:pt idx="16">
                  <c:v>0.28037126676348562</c:v>
                </c:pt>
                <c:pt idx="17">
                  <c:v>0.28037126676348562</c:v>
                </c:pt>
                <c:pt idx="18">
                  <c:v>0.28037126676348562</c:v>
                </c:pt>
                <c:pt idx="19">
                  <c:v>0.28037126676348562</c:v>
                </c:pt>
                <c:pt idx="20">
                  <c:v>0.28037126676348562</c:v>
                </c:pt>
                <c:pt idx="21">
                  <c:v>0.28037126676348562</c:v>
                </c:pt>
                <c:pt idx="22">
                  <c:v>0.28037126676348562</c:v>
                </c:pt>
                <c:pt idx="23">
                  <c:v>0.28037126676348562</c:v>
                </c:pt>
                <c:pt idx="24">
                  <c:v>0.28037126676348562</c:v>
                </c:pt>
                <c:pt idx="25">
                  <c:v>0.28037126676348562</c:v>
                </c:pt>
                <c:pt idx="26">
                  <c:v>0.28037126676348562</c:v>
                </c:pt>
                <c:pt idx="27">
                  <c:v>0.28037126676348562</c:v>
                </c:pt>
                <c:pt idx="28">
                  <c:v>0.28037126676348562</c:v>
                </c:pt>
                <c:pt idx="29">
                  <c:v>0.28037126676348562</c:v>
                </c:pt>
                <c:pt idx="30">
                  <c:v>0.28037126676348562</c:v>
                </c:pt>
                <c:pt idx="31">
                  <c:v>0.28037126676348562</c:v>
                </c:pt>
                <c:pt idx="32">
                  <c:v>0.28037126676348562</c:v>
                </c:pt>
                <c:pt idx="33">
                  <c:v>0.28037126676348562</c:v>
                </c:pt>
                <c:pt idx="34">
                  <c:v>0.28037126676348562</c:v>
                </c:pt>
                <c:pt idx="35">
                  <c:v>0.28037126676348562</c:v>
                </c:pt>
                <c:pt idx="36">
                  <c:v>0.28037126676348562</c:v>
                </c:pt>
                <c:pt idx="37">
                  <c:v>0.28037126676348562</c:v>
                </c:pt>
                <c:pt idx="38">
                  <c:v>0.28037126676348562</c:v>
                </c:pt>
                <c:pt idx="39">
                  <c:v>0.28037126676348562</c:v>
                </c:pt>
                <c:pt idx="40">
                  <c:v>0.28037126676348562</c:v>
                </c:pt>
                <c:pt idx="41">
                  <c:v>0.28037126676348562</c:v>
                </c:pt>
                <c:pt idx="42">
                  <c:v>0.28037126676348562</c:v>
                </c:pt>
                <c:pt idx="43">
                  <c:v>0.28037126676348562</c:v>
                </c:pt>
                <c:pt idx="44">
                  <c:v>0.28037126676348562</c:v>
                </c:pt>
                <c:pt idx="45">
                  <c:v>0.28037126676348562</c:v>
                </c:pt>
                <c:pt idx="46">
                  <c:v>0.28037126676348562</c:v>
                </c:pt>
                <c:pt idx="47">
                  <c:v>0.28037126676348562</c:v>
                </c:pt>
                <c:pt idx="48">
                  <c:v>0.28037126676348562</c:v>
                </c:pt>
                <c:pt idx="49">
                  <c:v>0.28037126676348562</c:v>
                </c:pt>
                <c:pt idx="50">
                  <c:v>0.28037126676348562</c:v>
                </c:pt>
                <c:pt idx="51">
                  <c:v>0.28037126676348562</c:v>
                </c:pt>
                <c:pt idx="52">
                  <c:v>0.28037126676348562</c:v>
                </c:pt>
                <c:pt idx="53">
                  <c:v>0.28037126676348562</c:v>
                </c:pt>
                <c:pt idx="54">
                  <c:v>0.28037126676348562</c:v>
                </c:pt>
                <c:pt idx="55">
                  <c:v>0.28037126676348562</c:v>
                </c:pt>
                <c:pt idx="56">
                  <c:v>0.28037126676348562</c:v>
                </c:pt>
                <c:pt idx="57">
                  <c:v>0.28037126676348562</c:v>
                </c:pt>
                <c:pt idx="58">
                  <c:v>0.28037126676348562</c:v>
                </c:pt>
                <c:pt idx="59">
                  <c:v>0.28037126676348562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F-4132-9F9A-6B3260A6B863}"/>
            </c:ext>
          </c:extLst>
        </c:ser>
        <c:ser>
          <c:idx val="3"/>
          <c:order val="3"/>
          <c:tx>
            <c:v>Sample Percent</c:v>
          </c:tx>
          <c:spPr>
            <a:ln w="34925" cap="rnd">
              <a:solidFill>
                <a:srgbClr val="C43C3C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'M&amp;M Data'!$J$3:$J$62</c:f>
              <c:numCache>
                <c:formatCode>0%</c:formatCode>
                <c:ptCount val="60"/>
                <c:pt idx="0">
                  <c:v>8.9285714285714288E-2</c:v>
                </c:pt>
                <c:pt idx="1">
                  <c:v>0.10909090909090909</c:v>
                </c:pt>
                <c:pt idx="2">
                  <c:v>9.6153846153846159E-2</c:v>
                </c:pt>
                <c:pt idx="3">
                  <c:v>0.125</c:v>
                </c:pt>
                <c:pt idx="4">
                  <c:v>0.10344827586206896</c:v>
                </c:pt>
                <c:pt idx="5">
                  <c:v>8.771929824561403E-2</c:v>
                </c:pt>
                <c:pt idx="6">
                  <c:v>7.2727272727272724E-2</c:v>
                </c:pt>
                <c:pt idx="7">
                  <c:v>0.10714285714285714</c:v>
                </c:pt>
                <c:pt idx="8">
                  <c:v>0.12962962962962962</c:v>
                </c:pt>
                <c:pt idx="9">
                  <c:v>7.2727272727272724E-2</c:v>
                </c:pt>
                <c:pt idx="10">
                  <c:v>0.1111111111111111</c:v>
                </c:pt>
                <c:pt idx="11">
                  <c:v>0.14285714285714285</c:v>
                </c:pt>
                <c:pt idx="12">
                  <c:v>0.12727272727272726</c:v>
                </c:pt>
                <c:pt idx="13">
                  <c:v>0.10909090909090909</c:v>
                </c:pt>
                <c:pt idx="14">
                  <c:v>0.14545454545454545</c:v>
                </c:pt>
                <c:pt idx="15">
                  <c:v>9.0909090909090912E-2</c:v>
                </c:pt>
                <c:pt idx="16">
                  <c:v>0.15384615384615385</c:v>
                </c:pt>
                <c:pt idx="17">
                  <c:v>0.24528301886792453</c:v>
                </c:pt>
                <c:pt idx="18">
                  <c:v>0.12280701754385964</c:v>
                </c:pt>
                <c:pt idx="19">
                  <c:v>0.10909090909090909</c:v>
                </c:pt>
                <c:pt idx="20">
                  <c:v>0.17857142857142858</c:v>
                </c:pt>
                <c:pt idx="21">
                  <c:v>0.21818181818181817</c:v>
                </c:pt>
                <c:pt idx="22">
                  <c:v>0.14285714285714285</c:v>
                </c:pt>
                <c:pt idx="23">
                  <c:v>0.10526315789473684</c:v>
                </c:pt>
                <c:pt idx="24">
                  <c:v>0.15789473684210525</c:v>
                </c:pt>
                <c:pt idx="25">
                  <c:v>0.21428571428571427</c:v>
                </c:pt>
                <c:pt idx="26">
                  <c:v>0.14285714285714285</c:v>
                </c:pt>
                <c:pt idx="27">
                  <c:v>0.1111111111111111</c:v>
                </c:pt>
                <c:pt idx="28">
                  <c:v>8.771929824561403E-2</c:v>
                </c:pt>
                <c:pt idx="29">
                  <c:v>0.16071428571428573</c:v>
                </c:pt>
                <c:pt idx="30">
                  <c:v>0.22222222222222221</c:v>
                </c:pt>
                <c:pt idx="31">
                  <c:v>0.23636363636363636</c:v>
                </c:pt>
                <c:pt idx="32">
                  <c:v>0.12280701754385964</c:v>
                </c:pt>
                <c:pt idx="33">
                  <c:v>0.2</c:v>
                </c:pt>
                <c:pt idx="34">
                  <c:v>0.14545454545454545</c:v>
                </c:pt>
                <c:pt idx="35">
                  <c:v>0.19642857142857142</c:v>
                </c:pt>
                <c:pt idx="36">
                  <c:v>0.12727272727272726</c:v>
                </c:pt>
                <c:pt idx="37">
                  <c:v>0.14545454545454545</c:v>
                </c:pt>
                <c:pt idx="38">
                  <c:v>0.15789473684210525</c:v>
                </c:pt>
                <c:pt idx="39">
                  <c:v>3.5714285714285712E-2</c:v>
                </c:pt>
                <c:pt idx="40">
                  <c:v>0.24074074074074073</c:v>
                </c:pt>
                <c:pt idx="41">
                  <c:v>0.16363636363636364</c:v>
                </c:pt>
                <c:pt idx="42">
                  <c:v>0.10526315789473684</c:v>
                </c:pt>
                <c:pt idx="43">
                  <c:v>0.18518518518518517</c:v>
                </c:pt>
                <c:pt idx="44">
                  <c:v>0.11320754716981132</c:v>
                </c:pt>
                <c:pt idx="45">
                  <c:v>0.16363636363636364</c:v>
                </c:pt>
                <c:pt idx="46">
                  <c:v>0.10526315789473684</c:v>
                </c:pt>
                <c:pt idx="47">
                  <c:v>0.15094339622641509</c:v>
                </c:pt>
                <c:pt idx="48">
                  <c:v>0.15789473684210525</c:v>
                </c:pt>
                <c:pt idx="49">
                  <c:v>0.18965517241379309</c:v>
                </c:pt>
                <c:pt idx="50">
                  <c:v>0.125</c:v>
                </c:pt>
                <c:pt idx="51">
                  <c:v>0.12727272727272726</c:v>
                </c:pt>
                <c:pt idx="52">
                  <c:v>0.12727272727272726</c:v>
                </c:pt>
                <c:pt idx="53">
                  <c:v>0.19642857142857142</c:v>
                </c:pt>
                <c:pt idx="54">
                  <c:v>0.10714285714285714</c:v>
                </c:pt>
                <c:pt idx="55">
                  <c:v>0.1111111111111111</c:v>
                </c:pt>
                <c:pt idx="56">
                  <c:v>0.21818181818181817</c:v>
                </c:pt>
                <c:pt idx="57">
                  <c:v>0.12727272727272726</c:v>
                </c:pt>
                <c:pt idx="58">
                  <c:v>7.1428571428571425E-2</c:v>
                </c:pt>
                <c:pt idx="59">
                  <c:v>0.18518518518518517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F-4132-9F9A-6B3260A6B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8533103"/>
        <c:axId val="638534767"/>
      </c:lineChart>
      <c:catAx>
        <c:axId val="638533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</a:t>
                </a:r>
                <a:r>
                  <a:rPr lang="en-US" baseline="0"/>
                  <a:t>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534767"/>
        <c:crosses val="autoZero"/>
        <c:auto val="1"/>
        <c:lblAlgn val="ctr"/>
        <c:lblOffset val="100"/>
        <c:noMultiLvlLbl val="0"/>
      </c:catAx>
      <c:valAx>
        <c:axId val="63853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  <a:r>
                  <a:rPr lang="en-US" baseline="0"/>
                  <a:t> of Color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533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</a:t>
            </a:r>
            <a:r>
              <a:rPr lang="en-US" baseline="0"/>
              <a:t> Chart: Blue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LCL 5%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'M&amp;M Data'!$T$25:$T$84</c:f>
              <c:numCache>
                <c:formatCode>0.00</c:formatCode>
                <c:ptCount val="60"/>
                <c:pt idx="0">
                  <c:v>4.8903694429011019E-2</c:v>
                </c:pt>
                <c:pt idx="1">
                  <c:v>4.8903694429011019E-2</c:v>
                </c:pt>
                <c:pt idx="2">
                  <c:v>4.8903694429011019E-2</c:v>
                </c:pt>
                <c:pt idx="3">
                  <c:v>4.8903694429011019E-2</c:v>
                </c:pt>
                <c:pt idx="4">
                  <c:v>4.8903694429011019E-2</c:v>
                </c:pt>
                <c:pt idx="5">
                  <c:v>4.8903694429011019E-2</c:v>
                </c:pt>
                <c:pt idx="6">
                  <c:v>4.8903694429011019E-2</c:v>
                </c:pt>
                <c:pt idx="7">
                  <c:v>4.8903694429011019E-2</c:v>
                </c:pt>
                <c:pt idx="8">
                  <c:v>4.8903694429011019E-2</c:v>
                </c:pt>
                <c:pt idx="9">
                  <c:v>4.8903694429011019E-2</c:v>
                </c:pt>
                <c:pt idx="10">
                  <c:v>4.8903694429011019E-2</c:v>
                </c:pt>
                <c:pt idx="11">
                  <c:v>4.8903694429011019E-2</c:v>
                </c:pt>
                <c:pt idx="12">
                  <c:v>4.8903694429011019E-2</c:v>
                </c:pt>
                <c:pt idx="13">
                  <c:v>4.8903694429011019E-2</c:v>
                </c:pt>
                <c:pt idx="14">
                  <c:v>4.8903694429011019E-2</c:v>
                </c:pt>
                <c:pt idx="15">
                  <c:v>4.8903694429011019E-2</c:v>
                </c:pt>
                <c:pt idx="16">
                  <c:v>4.8903694429011019E-2</c:v>
                </c:pt>
                <c:pt idx="17">
                  <c:v>4.8903694429011019E-2</c:v>
                </c:pt>
                <c:pt idx="18">
                  <c:v>4.8903694429011019E-2</c:v>
                </c:pt>
                <c:pt idx="19">
                  <c:v>4.8903694429011019E-2</c:v>
                </c:pt>
                <c:pt idx="20">
                  <c:v>4.8903694429011019E-2</c:v>
                </c:pt>
                <c:pt idx="21">
                  <c:v>4.8903694429011019E-2</c:v>
                </c:pt>
                <c:pt idx="22">
                  <c:v>4.8903694429011019E-2</c:v>
                </c:pt>
                <c:pt idx="23">
                  <c:v>4.8903694429011019E-2</c:v>
                </c:pt>
                <c:pt idx="24">
                  <c:v>4.8903694429011019E-2</c:v>
                </c:pt>
                <c:pt idx="25">
                  <c:v>4.8903694429011019E-2</c:v>
                </c:pt>
                <c:pt idx="26">
                  <c:v>4.8903694429011019E-2</c:v>
                </c:pt>
                <c:pt idx="27">
                  <c:v>4.8903694429011019E-2</c:v>
                </c:pt>
                <c:pt idx="28">
                  <c:v>4.8903694429011019E-2</c:v>
                </c:pt>
                <c:pt idx="29">
                  <c:v>4.8903694429011019E-2</c:v>
                </c:pt>
                <c:pt idx="30">
                  <c:v>4.8903694429011019E-2</c:v>
                </c:pt>
                <c:pt idx="31">
                  <c:v>4.8903694429011019E-2</c:v>
                </c:pt>
                <c:pt idx="32">
                  <c:v>4.8903694429011019E-2</c:v>
                </c:pt>
                <c:pt idx="33">
                  <c:v>4.8903694429011019E-2</c:v>
                </c:pt>
                <c:pt idx="34">
                  <c:v>4.8903694429011019E-2</c:v>
                </c:pt>
                <c:pt idx="35">
                  <c:v>4.8903694429011019E-2</c:v>
                </c:pt>
                <c:pt idx="36">
                  <c:v>4.8903694429011019E-2</c:v>
                </c:pt>
                <c:pt idx="37">
                  <c:v>4.8903694429011019E-2</c:v>
                </c:pt>
                <c:pt idx="38">
                  <c:v>4.8903694429011019E-2</c:v>
                </c:pt>
                <c:pt idx="39">
                  <c:v>4.8903694429011019E-2</c:v>
                </c:pt>
                <c:pt idx="40">
                  <c:v>4.8903694429011019E-2</c:v>
                </c:pt>
                <c:pt idx="41">
                  <c:v>4.8903694429011019E-2</c:v>
                </c:pt>
                <c:pt idx="42">
                  <c:v>4.8903694429011019E-2</c:v>
                </c:pt>
                <c:pt idx="43">
                  <c:v>4.8903694429011019E-2</c:v>
                </c:pt>
                <c:pt idx="44">
                  <c:v>4.8903694429011019E-2</c:v>
                </c:pt>
                <c:pt idx="45">
                  <c:v>4.8903694429011019E-2</c:v>
                </c:pt>
                <c:pt idx="46">
                  <c:v>4.8903694429011019E-2</c:v>
                </c:pt>
                <c:pt idx="47">
                  <c:v>4.8903694429011019E-2</c:v>
                </c:pt>
                <c:pt idx="48">
                  <c:v>4.8903694429011019E-2</c:v>
                </c:pt>
                <c:pt idx="49">
                  <c:v>4.8903694429011019E-2</c:v>
                </c:pt>
                <c:pt idx="50">
                  <c:v>4.8903694429011019E-2</c:v>
                </c:pt>
                <c:pt idx="51">
                  <c:v>4.8903694429011019E-2</c:v>
                </c:pt>
                <c:pt idx="52">
                  <c:v>4.8903694429011019E-2</c:v>
                </c:pt>
                <c:pt idx="53">
                  <c:v>4.8903694429011019E-2</c:v>
                </c:pt>
                <c:pt idx="54">
                  <c:v>4.8903694429011019E-2</c:v>
                </c:pt>
                <c:pt idx="55">
                  <c:v>4.8903694429011019E-2</c:v>
                </c:pt>
                <c:pt idx="56">
                  <c:v>4.8903694429011019E-2</c:v>
                </c:pt>
                <c:pt idx="57">
                  <c:v>4.8903694429011019E-2</c:v>
                </c:pt>
                <c:pt idx="58">
                  <c:v>4.8903694429011019E-2</c:v>
                </c:pt>
                <c:pt idx="59">
                  <c:v>4.8903694429011019E-2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1B-449D-9A40-2917ABB25E4A}"/>
            </c:ext>
          </c:extLst>
        </c:ser>
        <c:ser>
          <c:idx val="1"/>
          <c:order val="1"/>
          <c:tx>
            <c:v>CL 24%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'M&amp;M Data'!$U$25:$U$84</c:f>
              <c:numCache>
                <c:formatCode>0.00</c:formatCode>
                <c:ptCount val="60"/>
                <c:pt idx="0">
                  <c:v>0.24</c:v>
                </c:pt>
                <c:pt idx="1">
                  <c:v>0.24</c:v>
                </c:pt>
                <c:pt idx="2">
                  <c:v>0.24</c:v>
                </c:pt>
                <c:pt idx="3">
                  <c:v>0.24</c:v>
                </c:pt>
                <c:pt idx="4">
                  <c:v>0.24</c:v>
                </c:pt>
                <c:pt idx="5">
                  <c:v>0.24</c:v>
                </c:pt>
                <c:pt idx="6">
                  <c:v>0.24</c:v>
                </c:pt>
                <c:pt idx="7">
                  <c:v>0.24</c:v>
                </c:pt>
                <c:pt idx="8">
                  <c:v>0.24</c:v>
                </c:pt>
                <c:pt idx="9">
                  <c:v>0.24</c:v>
                </c:pt>
                <c:pt idx="10">
                  <c:v>0.24</c:v>
                </c:pt>
                <c:pt idx="11">
                  <c:v>0.24</c:v>
                </c:pt>
                <c:pt idx="12">
                  <c:v>0.24</c:v>
                </c:pt>
                <c:pt idx="13">
                  <c:v>0.24</c:v>
                </c:pt>
                <c:pt idx="14">
                  <c:v>0.24</c:v>
                </c:pt>
                <c:pt idx="15">
                  <c:v>0.24</c:v>
                </c:pt>
                <c:pt idx="16">
                  <c:v>0.24</c:v>
                </c:pt>
                <c:pt idx="17">
                  <c:v>0.24</c:v>
                </c:pt>
                <c:pt idx="18">
                  <c:v>0.24</c:v>
                </c:pt>
                <c:pt idx="19">
                  <c:v>0.24</c:v>
                </c:pt>
                <c:pt idx="20">
                  <c:v>0.24</c:v>
                </c:pt>
                <c:pt idx="21">
                  <c:v>0.24</c:v>
                </c:pt>
                <c:pt idx="22">
                  <c:v>0.24</c:v>
                </c:pt>
                <c:pt idx="23">
                  <c:v>0.24</c:v>
                </c:pt>
                <c:pt idx="24">
                  <c:v>0.24</c:v>
                </c:pt>
                <c:pt idx="25">
                  <c:v>0.24</c:v>
                </c:pt>
                <c:pt idx="26">
                  <c:v>0.24</c:v>
                </c:pt>
                <c:pt idx="27">
                  <c:v>0.24</c:v>
                </c:pt>
                <c:pt idx="28">
                  <c:v>0.24</c:v>
                </c:pt>
                <c:pt idx="29">
                  <c:v>0.24</c:v>
                </c:pt>
                <c:pt idx="30">
                  <c:v>0.24</c:v>
                </c:pt>
                <c:pt idx="31">
                  <c:v>0.24</c:v>
                </c:pt>
                <c:pt idx="32">
                  <c:v>0.24</c:v>
                </c:pt>
                <c:pt idx="33">
                  <c:v>0.24</c:v>
                </c:pt>
                <c:pt idx="34">
                  <c:v>0.24</c:v>
                </c:pt>
                <c:pt idx="35">
                  <c:v>0.24</c:v>
                </c:pt>
                <c:pt idx="36">
                  <c:v>0.24</c:v>
                </c:pt>
                <c:pt idx="37">
                  <c:v>0.24</c:v>
                </c:pt>
                <c:pt idx="38">
                  <c:v>0.24</c:v>
                </c:pt>
                <c:pt idx="39">
                  <c:v>0.24</c:v>
                </c:pt>
                <c:pt idx="40">
                  <c:v>0.24</c:v>
                </c:pt>
                <c:pt idx="41">
                  <c:v>0.24</c:v>
                </c:pt>
                <c:pt idx="42">
                  <c:v>0.24</c:v>
                </c:pt>
                <c:pt idx="43">
                  <c:v>0.24</c:v>
                </c:pt>
                <c:pt idx="44">
                  <c:v>0.24</c:v>
                </c:pt>
                <c:pt idx="45">
                  <c:v>0.24</c:v>
                </c:pt>
                <c:pt idx="46">
                  <c:v>0.24</c:v>
                </c:pt>
                <c:pt idx="47">
                  <c:v>0.24</c:v>
                </c:pt>
                <c:pt idx="48">
                  <c:v>0.24</c:v>
                </c:pt>
                <c:pt idx="49">
                  <c:v>0.24</c:v>
                </c:pt>
                <c:pt idx="50">
                  <c:v>0.24</c:v>
                </c:pt>
                <c:pt idx="51">
                  <c:v>0.24</c:v>
                </c:pt>
                <c:pt idx="52">
                  <c:v>0.24</c:v>
                </c:pt>
                <c:pt idx="53">
                  <c:v>0.24</c:v>
                </c:pt>
                <c:pt idx="54">
                  <c:v>0.24</c:v>
                </c:pt>
                <c:pt idx="55">
                  <c:v>0.24</c:v>
                </c:pt>
                <c:pt idx="56">
                  <c:v>0.24</c:v>
                </c:pt>
                <c:pt idx="57">
                  <c:v>0.24</c:v>
                </c:pt>
                <c:pt idx="58">
                  <c:v>0.24</c:v>
                </c:pt>
                <c:pt idx="59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1B-449D-9A40-2917ABB25E4A}"/>
            </c:ext>
          </c:extLst>
        </c:ser>
        <c:ser>
          <c:idx val="2"/>
          <c:order val="2"/>
          <c:tx>
            <c:v>UCL 38%</c:v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'M&amp;M Data'!$V$25:$V$84</c:f>
              <c:numCache>
                <c:formatCode>0.00</c:formatCode>
                <c:ptCount val="60"/>
                <c:pt idx="0">
                  <c:v>0.37988281565831206</c:v>
                </c:pt>
                <c:pt idx="1">
                  <c:v>0.37988281565831206</c:v>
                </c:pt>
                <c:pt idx="2">
                  <c:v>0.37988281565831206</c:v>
                </c:pt>
                <c:pt idx="3">
                  <c:v>0.37988281565831206</c:v>
                </c:pt>
                <c:pt idx="4">
                  <c:v>0.37988281565831206</c:v>
                </c:pt>
                <c:pt idx="5">
                  <c:v>0.37988281565831206</c:v>
                </c:pt>
                <c:pt idx="6">
                  <c:v>0.37988281565831206</c:v>
                </c:pt>
                <c:pt idx="7">
                  <c:v>0.37988281565831206</c:v>
                </c:pt>
                <c:pt idx="8">
                  <c:v>0.37988281565831206</c:v>
                </c:pt>
                <c:pt idx="9">
                  <c:v>0.37988281565831206</c:v>
                </c:pt>
                <c:pt idx="10">
                  <c:v>0.37988281565831206</c:v>
                </c:pt>
                <c:pt idx="11">
                  <c:v>0.37988281565831206</c:v>
                </c:pt>
                <c:pt idx="12">
                  <c:v>0.37988281565831206</c:v>
                </c:pt>
                <c:pt idx="13">
                  <c:v>0.37988281565831206</c:v>
                </c:pt>
                <c:pt idx="14">
                  <c:v>0.37988281565831206</c:v>
                </c:pt>
                <c:pt idx="15">
                  <c:v>0.37988281565831206</c:v>
                </c:pt>
                <c:pt idx="16">
                  <c:v>0.37988281565831206</c:v>
                </c:pt>
                <c:pt idx="17">
                  <c:v>0.37988281565831206</c:v>
                </c:pt>
                <c:pt idx="18">
                  <c:v>0.37988281565831206</c:v>
                </c:pt>
                <c:pt idx="19">
                  <c:v>0.37988281565831206</c:v>
                </c:pt>
                <c:pt idx="20">
                  <c:v>0.37988281565831206</c:v>
                </c:pt>
                <c:pt idx="21">
                  <c:v>0.37988281565831206</c:v>
                </c:pt>
                <c:pt idx="22">
                  <c:v>0.37988281565831206</c:v>
                </c:pt>
                <c:pt idx="23">
                  <c:v>0.37988281565831206</c:v>
                </c:pt>
                <c:pt idx="24">
                  <c:v>0.37988281565831206</c:v>
                </c:pt>
                <c:pt idx="25">
                  <c:v>0.37988281565831206</c:v>
                </c:pt>
                <c:pt idx="26">
                  <c:v>0.37988281565831206</c:v>
                </c:pt>
                <c:pt idx="27">
                  <c:v>0.37988281565831206</c:v>
                </c:pt>
                <c:pt idx="28">
                  <c:v>0.37988281565831206</c:v>
                </c:pt>
                <c:pt idx="29">
                  <c:v>0.37988281565831206</c:v>
                </c:pt>
                <c:pt idx="30">
                  <c:v>0.37988281565831206</c:v>
                </c:pt>
                <c:pt idx="31">
                  <c:v>0.37988281565831206</c:v>
                </c:pt>
                <c:pt idx="32">
                  <c:v>0.37988281565831206</c:v>
                </c:pt>
                <c:pt idx="33">
                  <c:v>0.37988281565831206</c:v>
                </c:pt>
                <c:pt idx="34">
                  <c:v>0.37988281565831206</c:v>
                </c:pt>
                <c:pt idx="35">
                  <c:v>0.37988281565831206</c:v>
                </c:pt>
                <c:pt idx="36">
                  <c:v>0.37988281565831206</c:v>
                </c:pt>
                <c:pt idx="37">
                  <c:v>0.37988281565831206</c:v>
                </c:pt>
                <c:pt idx="38">
                  <c:v>0.37988281565831206</c:v>
                </c:pt>
                <c:pt idx="39">
                  <c:v>0.37988281565831206</c:v>
                </c:pt>
                <c:pt idx="40">
                  <c:v>0.37988281565831206</c:v>
                </c:pt>
                <c:pt idx="41">
                  <c:v>0.37988281565831206</c:v>
                </c:pt>
                <c:pt idx="42">
                  <c:v>0.37988281565831206</c:v>
                </c:pt>
                <c:pt idx="43">
                  <c:v>0.37988281565831206</c:v>
                </c:pt>
                <c:pt idx="44">
                  <c:v>0.37988281565831206</c:v>
                </c:pt>
                <c:pt idx="45">
                  <c:v>0.37988281565831206</c:v>
                </c:pt>
                <c:pt idx="46">
                  <c:v>0.37988281565831206</c:v>
                </c:pt>
                <c:pt idx="47">
                  <c:v>0.37988281565831206</c:v>
                </c:pt>
                <c:pt idx="48">
                  <c:v>0.37988281565831206</c:v>
                </c:pt>
                <c:pt idx="49">
                  <c:v>0.37988281565831206</c:v>
                </c:pt>
                <c:pt idx="50">
                  <c:v>0.37988281565831206</c:v>
                </c:pt>
                <c:pt idx="51">
                  <c:v>0.37988281565831206</c:v>
                </c:pt>
                <c:pt idx="52">
                  <c:v>0.37988281565831206</c:v>
                </c:pt>
                <c:pt idx="53">
                  <c:v>0.37988281565831206</c:v>
                </c:pt>
                <c:pt idx="54">
                  <c:v>0.37988281565831206</c:v>
                </c:pt>
                <c:pt idx="55">
                  <c:v>0.37988281565831206</c:v>
                </c:pt>
                <c:pt idx="56">
                  <c:v>0.37988281565831206</c:v>
                </c:pt>
                <c:pt idx="57">
                  <c:v>0.37988281565831206</c:v>
                </c:pt>
                <c:pt idx="58">
                  <c:v>0.37988281565831206</c:v>
                </c:pt>
                <c:pt idx="59">
                  <c:v>0.37988281565831206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1B-449D-9A40-2917ABB25E4A}"/>
            </c:ext>
          </c:extLst>
        </c:ser>
        <c:ser>
          <c:idx val="3"/>
          <c:order val="3"/>
          <c:tx>
            <c:v>Sample Percent</c:v>
          </c:tx>
          <c:spPr>
            <a:ln w="3492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'M&amp;M Data'!$K$3:$K$62</c:f>
              <c:numCache>
                <c:formatCode>0%</c:formatCode>
                <c:ptCount val="60"/>
                <c:pt idx="0">
                  <c:v>0.16071428571428573</c:v>
                </c:pt>
                <c:pt idx="1">
                  <c:v>0.2</c:v>
                </c:pt>
                <c:pt idx="2">
                  <c:v>0.11538461538461539</c:v>
                </c:pt>
                <c:pt idx="3">
                  <c:v>0.14285714285714285</c:v>
                </c:pt>
                <c:pt idx="4">
                  <c:v>0.27586206896551724</c:v>
                </c:pt>
                <c:pt idx="5">
                  <c:v>0.15789473684210525</c:v>
                </c:pt>
                <c:pt idx="6">
                  <c:v>0.14545454545454545</c:v>
                </c:pt>
                <c:pt idx="7">
                  <c:v>0.17857142857142858</c:v>
                </c:pt>
                <c:pt idx="8">
                  <c:v>0.18518518518518517</c:v>
                </c:pt>
                <c:pt idx="9">
                  <c:v>0.12727272727272726</c:v>
                </c:pt>
                <c:pt idx="10">
                  <c:v>0.14814814814814814</c:v>
                </c:pt>
                <c:pt idx="11">
                  <c:v>0.26785714285714285</c:v>
                </c:pt>
                <c:pt idx="12">
                  <c:v>0.25454545454545452</c:v>
                </c:pt>
                <c:pt idx="13">
                  <c:v>0.29090909090909089</c:v>
                </c:pt>
                <c:pt idx="14">
                  <c:v>0.27272727272727271</c:v>
                </c:pt>
                <c:pt idx="15">
                  <c:v>0.12727272727272726</c:v>
                </c:pt>
                <c:pt idx="16">
                  <c:v>0.21153846153846154</c:v>
                </c:pt>
                <c:pt idx="17">
                  <c:v>0.26415094339622641</c:v>
                </c:pt>
                <c:pt idx="18">
                  <c:v>0.35087719298245612</c:v>
                </c:pt>
                <c:pt idx="19">
                  <c:v>0.29090909090909089</c:v>
                </c:pt>
                <c:pt idx="20">
                  <c:v>0.2857142857142857</c:v>
                </c:pt>
                <c:pt idx="21">
                  <c:v>0.21818181818181817</c:v>
                </c:pt>
                <c:pt idx="22">
                  <c:v>8.9285714285714288E-2</c:v>
                </c:pt>
                <c:pt idx="23">
                  <c:v>0.12280701754385964</c:v>
                </c:pt>
                <c:pt idx="24">
                  <c:v>0.22807017543859648</c:v>
                </c:pt>
                <c:pt idx="25">
                  <c:v>0.19642857142857142</c:v>
                </c:pt>
                <c:pt idx="26">
                  <c:v>7.1428571428571425E-2</c:v>
                </c:pt>
                <c:pt idx="27">
                  <c:v>0.16666666666666666</c:v>
                </c:pt>
                <c:pt idx="28">
                  <c:v>0.24561403508771928</c:v>
                </c:pt>
                <c:pt idx="29">
                  <c:v>0.23214285714285715</c:v>
                </c:pt>
                <c:pt idx="30">
                  <c:v>0.16666666666666666</c:v>
                </c:pt>
                <c:pt idx="31">
                  <c:v>0.2</c:v>
                </c:pt>
                <c:pt idx="32">
                  <c:v>0.24561403508771928</c:v>
                </c:pt>
                <c:pt idx="33">
                  <c:v>0.27272727272727271</c:v>
                </c:pt>
                <c:pt idx="34">
                  <c:v>0.34545454545454546</c:v>
                </c:pt>
                <c:pt idx="35">
                  <c:v>0.17857142857142858</c:v>
                </c:pt>
                <c:pt idx="36">
                  <c:v>0.30909090909090908</c:v>
                </c:pt>
                <c:pt idx="37">
                  <c:v>0.25454545454545452</c:v>
                </c:pt>
                <c:pt idx="38">
                  <c:v>0.26315789473684209</c:v>
                </c:pt>
                <c:pt idx="39">
                  <c:v>0.26785714285714285</c:v>
                </c:pt>
                <c:pt idx="40">
                  <c:v>0.16666666666666666</c:v>
                </c:pt>
                <c:pt idx="41">
                  <c:v>0.2</c:v>
                </c:pt>
                <c:pt idx="42">
                  <c:v>0.21052631578947367</c:v>
                </c:pt>
                <c:pt idx="43">
                  <c:v>0.27777777777777779</c:v>
                </c:pt>
                <c:pt idx="44">
                  <c:v>0.16981132075471697</c:v>
                </c:pt>
                <c:pt idx="45">
                  <c:v>0.23636363636363636</c:v>
                </c:pt>
                <c:pt idx="46">
                  <c:v>0.15789473684210525</c:v>
                </c:pt>
                <c:pt idx="47">
                  <c:v>0.20754716981132076</c:v>
                </c:pt>
                <c:pt idx="48">
                  <c:v>0.17543859649122806</c:v>
                </c:pt>
                <c:pt idx="49">
                  <c:v>0.1206896551724138</c:v>
                </c:pt>
                <c:pt idx="50">
                  <c:v>0.21428571428571427</c:v>
                </c:pt>
                <c:pt idx="51">
                  <c:v>0.18181818181818182</c:v>
                </c:pt>
                <c:pt idx="52">
                  <c:v>0.21818181818181817</c:v>
                </c:pt>
                <c:pt idx="53">
                  <c:v>0.125</c:v>
                </c:pt>
                <c:pt idx="54">
                  <c:v>0.2857142857142857</c:v>
                </c:pt>
                <c:pt idx="55">
                  <c:v>0.33333333333333331</c:v>
                </c:pt>
                <c:pt idx="56">
                  <c:v>0.27272727272727271</c:v>
                </c:pt>
                <c:pt idx="57">
                  <c:v>0.23636363636363636</c:v>
                </c:pt>
                <c:pt idx="58">
                  <c:v>0.3392857142857143</c:v>
                </c:pt>
                <c:pt idx="59">
                  <c:v>0.20370370370370369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1B-449D-9A40-2917ABB25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0404639"/>
        <c:axId val="640405055"/>
      </c:lineChart>
      <c:catAx>
        <c:axId val="6404046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</a:t>
                </a:r>
                <a:r>
                  <a:rPr lang="en-US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405055"/>
        <c:crosses val="autoZero"/>
        <c:auto val="1"/>
        <c:lblAlgn val="ctr"/>
        <c:lblOffset val="100"/>
        <c:noMultiLvlLbl val="0"/>
      </c:catAx>
      <c:valAx>
        <c:axId val="64040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  <a:r>
                  <a:rPr lang="en-US" baseline="0"/>
                  <a:t> of color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404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</a:t>
            </a:r>
            <a:r>
              <a:rPr lang="en-US" baseline="0"/>
              <a:t> Chart: Green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LCL 2%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'M&amp;M Data'!$W$25:$W$84</c:f>
              <c:numCache>
                <c:formatCode>0.00</c:formatCode>
                <c:ptCount val="60"/>
                <c:pt idx="0">
                  <c:v>2.135383361833687E-2</c:v>
                </c:pt>
                <c:pt idx="1">
                  <c:v>2.135383361833687E-2</c:v>
                </c:pt>
                <c:pt idx="2">
                  <c:v>2.135383361833687E-2</c:v>
                </c:pt>
                <c:pt idx="3">
                  <c:v>2.135383361833687E-2</c:v>
                </c:pt>
                <c:pt idx="4">
                  <c:v>2.135383361833687E-2</c:v>
                </c:pt>
                <c:pt idx="5">
                  <c:v>2.135383361833687E-2</c:v>
                </c:pt>
                <c:pt idx="6">
                  <c:v>2.135383361833687E-2</c:v>
                </c:pt>
                <c:pt idx="7">
                  <c:v>2.135383361833687E-2</c:v>
                </c:pt>
                <c:pt idx="8">
                  <c:v>2.135383361833687E-2</c:v>
                </c:pt>
                <c:pt idx="9">
                  <c:v>2.135383361833687E-2</c:v>
                </c:pt>
                <c:pt idx="10">
                  <c:v>2.135383361833687E-2</c:v>
                </c:pt>
                <c:pt idx="11">
                  <c:v>2.135383361833687E-2</c:v>
                </c:pt>
                <c:pt idx="12">
                  <c:v>2.135383361833687E-2</c:v>
                </c:pt>
                <c:pt idx="13">
                  <c:v>2.135383361833687E-2</c:v>
                </c:pt>
                <c:pt idx="14">
                  <c:v>2.135383361833687E-2</c:v>
                </c:pt>
                <c:pt idx="15">
                  <c:v>2.135383361833687E-2</c:v>
                </c:pt>
                <c:pt idx="16">
                  <c:v>2.135383361833687E-2</c:v>
                </c:pt>
                <c:pt idx="17">
                  <c:v>2.135383361833687E-2</c:v>
                </c:pt>
                <c:pt idx="18">
                  <c:v>2.135383361833687E-2</c:v>
                </c:pt>
                <c:pt idx="19">
                  <c:v>2.135383361833687E-2</c:v>
                </c:pt>
                <c:pt idx="20">
                  <c:v>2.135383361833687E-2</c:v>
                </c:pt>
                <c:pt idx="21">
                  <c:v>2.135383361833687E-2</c:v>
                </c:pt>
                <c:pt idx="22">
                  <c:v>2.135383361833687E-2</c:v>
                </c:pt>
                <c:pt idx="23">
                  <c:v>2.135383361833687E-2</c:v>
                </c:pt>
                <c:pt idx="24">
                  <c:v>2.135383361833687E-2</c:v>
                </c:pt>
                <c:pt idx="25">
                  <c:v>2.135383361833687E-2</c:v>
                </c:pt>
                <c:pt idx="26">
                  <c:v>2.135383361833687E-2</c:v>
                </c:pt>
                <c:pt idx="27">
                  <c:v>2.135383361833687E-2</c:v>
                </c:pt>
                <c:pt idx="28">
                  <c:v>2.135383361833687E-2</c:v>
                </c:pt>
                <c:pt idx="29">
                  <c:v>2.135383361833687E-2</c:v>
                </c:pt>
                <c:pt idx="30">
                  <c:v>2.135383361833687E-2</c:v>
                </c:pt>
                <c:pt idx="31">
                  <c:v>2.135383361833687E-2</c:v>
                </c:pt>
                <c:pt idx="32">
                  <c:v>2.135383361833687E-2</c:v>
                </c:pt>
                <c:pt idx="33">
                  <c:v>2.135383361833687E-2</c:v>
                </c:pt>
                <c:pt idx="34">
                  <c:v>2.135383361833687E-2</c:v>
                </c:pt>
                <c:pt idx="35">
                  <c:v>2.135383361833687E-2</c:v>
                </c:pt>
                <c:pt idx="36">
                  <c:v>2.135383361833687E-2</c:v>
                </c:pt>
                <c:pt idx="37">
                  <c:v>2.135383361833687E-2</c:v>
                </c:pt>
                <c:pt idx="38">
                  <c:v>2.135383361833687E-2</c:v>
                </c:pt>
                <c:pt idx="39">
                  <c:v>2.135383361833687E-2</c:v>
                </c:pt>
                <c:pt idx="40">
                  <c:v>2.135383361833687E-2</c:v>
                </c:pt>
                <c:pt idx="41">
                  <c:v>2.135383361833687E-2</c:v>
                </c:pt>
                <c:pt idx="42">
                  <c:v>2.135383361833687E-2</c:v>
                </c:pt>
                <c:pt idx="43">
                  <c:v>2.135383361833687E-2</c:v>
                </c:pt>
                <c:pt idx="44">
                  <c:v>2.135383361833687E-2</c:v>
                </c:pt>
                <c:pt idx="45">
                  <c:v>2.135383361833687E-2</c:v>
                </c:pt>
                <c:pt idx="46">
                  <c:v>2.135383361833687E-2</c:v>
                </c:pt>
                <c:pt idx="47">
                  <c:v>2.135383361833687E-2</c:v>
                </c:pt>
                <c:pt idx="48">
                  <c:v>2.135383361833687E-2</c:v>
                </c:pt>
                <c:pt idx="49">
                  <c:v>2.135383361833687E-2</c:v>
                </c:pt>
                <c:pt idx="50">
                  <c:v>2.135383361833687E-2</c:v>
                </c:pt>
                <c:pt idx="51">
                  <c:v>2.135383361833687E-2</c:v>
                </c:pt>
                <c:pt idx="52">
                  <c:v>2.135383361833687E-2</c:v>
                </c:pt>
                <c:pt idx="53">
                  <c:v>2.135383361833687E-2</c:v>
                </c:pt>
                <c:pt idx="54">
                  <c:v>2.135383361833687E-2</c:v>
                </c:pt>
                <c:pt idx="55">
                  <c:v>2.135383361833687E-2</c:v>
                </c:pt>
                <c:pt idx="56">
                  <c:v>2.135383361833687E-2</c:v>
                </c:pt>
                <c:pt idx="57">
                  <c:v>2.135383361833687E-2</c:v>
                </c:pt>
                <c:pt idx="58">
                  <c:v>2.135383361833687E-2</c:v>
                </c:pt>
                <c:pt idx="59">
                  <c:v>2.135383361833687E-2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68-411A-A24C-B29413942B61}"/>
            </c:ext>
          </c:extLst>
        </c:ser>
        <c:ser>
          <c:idx val="1"/>
          <c:order val="1"/>
          <c:tx>
            <c:v>CL 16%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'M&amp;M Data'!$X$25:$X$84</c:f>
              <c:numCache>
                <c:formatCode>0.00</c:formatCode>
                <c:ptCount val="60"/>
                <c:pt idx="0">
                  <c:v>0.16</c:v>
                </c:pt>
                <c:pt idx="1">
                  <c:v>0.16</c:v>
                </c:pt>
                <c:pt idx="2">
                  <c:v>0.16</c:v>
                </c:pt>
                <c:pt idx="3">
                  <c:v>0.16</c:v>
                </c:pt>
                <c:pt idx="4">
                  <c:v>0.16</c:v>
                </c:pt>
                <c:pt idx="5">
                  <c:v>0.16</c:v>
                </c:pt>
                <c:pt idx="6">
                  <c:v>0.16</c:v>
                </c:pt>
                <c:pt idx="7">
                  <c:v>0.16</c:v>
                </c:pt>
                <c:pt idx="8">
                  <c:v>0.16</c:v>
                </c:pt>
                <c:pt idx="9">
                  <c:v>0.16</c:v>
                </c:pt>
                <c:pt idx="10">
                  <c:v>0.16</c:v>
                </c:pt>
                <c:pt idx="11">
                  <c:v>0.16</c:v>
                </c:pt>
                <c:pt idx="12">
                  <c:v>0.16</c:v>
                </c:pt>
                <c:pt idx="13">
                  <c:v>0.16</c:v>
                </c:pt>
                <c:pt idx="14">
                  <c:v>0.16</c:v>
                </c:pt>
                <c:pt idx="15">
                  <c:v>0.16</c:v>
                </c:pt>
                <c:pt idx="16">
                  <c:v>0.16</c:v>
                </c:pt>
                <c:pt idx="17">
                  <c:v>0.16</c:v>
                </c:pt>
                <c:pt idx="18">
                  <c:v>0.16</c:v>
                </c:pt>
                <c:pt idx="19">
                  <c:v>0.16</c:v>
                </c:pt>
                <c:pt idx="20">
                  <c:v>0.16</c:v>
                </c:pt>
                <c:pt idx="21">
                  <c:v>0.16</c:v>
                </c:pt>
                <c:pt idx="22">
                  <c:v>0.16</c:v>
                </c:pt>
                <c:pt idx="23">
                  <c:v>0.16</c:v>
                </c:pt>
                <c:pt idx="24">
                  <c:v>0.16</c:v>
                </c:pt>
                <c:pt idx="25">
                  <c:v>0.16</c:v>
                </c:pt>
                <c:pt idx="26">
                  <c:v>0.16</c:v>
                </c:pt>
                <c:pt idx="27">
                  <c:v>0.16</c:v>
                </c:pt>
                <c:pt idx="28">
                  <c:v>0.16</c:v>
                </c:pt>
                <c:pt idx="29">
                  <c:v>0.16</c:v>
                </c:pt>
                <c:pt idx="30">
                  <c:v>0.16</c:v>
                </c:pt>
                <c:pt idx="31">
                  <c:v>0.16</c:v>
                </c:pt>
                <c:pt idx="32">
                  <c:v>0.16</c:v>
                </c:pt>
                <c:pt idx="33">
                  <c:v>0.16</c:v>
                </c:pt>
                <c:pt idx="34">
                  <c:v>0.16</c:v>
                </c:pt>
                <c:pt idx="35">
                  <c:v>0.16</c:v>
                </c:pt>
                <c:pt idx="36">
                  <c:v>0.16</c:v>
                </c:pt>
                <c:pt idx="37">
                  <c:v>0.16</c:v>
                </c:pt>
                <c:pt idx="38">
                  <c:v>0.16</c:v>
                </c:pt>
                <c:pt idx="39">
                  <c:v>0.16</c:v>
                </c:pt>
                <c:pt idx="40">
                  <c:v>0.16</c:v>
                </c:pt>
                <c:pt idx="41">
                  <c:v>0.16</c:v>
                </c:pt>
                <c:pt idx="42">
                  <c:v>0.16</c:v>
                </c:pt>
                <c:pt idx="43">
                  <c:v>0.16</c:v>
                </c:pt>
                <c:pt idx="44">
                  <c:v>0.16</c:v>
                </c:pt>
                <c:pt idx="45">
                  <c:v>0.16</c:v>
                </c:pt>
                <c:pt idx="46">
                  <c:v>0.16</c:v>
                </c:pt>
                <c:pt idx="47">
                  <c:v>0.16</c:v>
                </c:pt>
                <c:pt idx="48">
                  <c:v>0.16</c:v>
                </c:pt>
                <c:pt idx="49">
                  <c:v>0.16</c:v>
                </c:pt>
                <c:pt idx="50">
                  <c:v>0.16</c:v>
                </c:pt>
                <c:pt idx="51">
                  <c:v>0.16</c:v>
                </c:pt>
                <c:pt idx="52">
                  <c:v>0.16</c:v>
                </c:pt>
                <c:pt idx="53">
                  <c:v>0.16</c:v>
                </c:pt>
                <c:pt idx="54">
                  <c:v>0.16</c:v>
                </c:pt>
                <c:pt idx="55">
                  <c:v>0.16</c:v>
                </c:pt>
                <c:pt idx="56">
                  <c:v>0.16</c:v>
                </c:pt>
                <c:pt idx="57">
                  <c:v>0.16</c:v>
                </c:pt>
                <c:pt idx="58">
                  <c:v>0.16</c:v>
                </c:pt>
                <c:pt idx="59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68-411A-A24C-B29413942B61}"/>
            </c:ext>
          </c:extLst>
        </c:ser>
        <c:ser>
          <c:idx val="2"/>
          <c:order val="2"/>
          <c:tx>
            <c:v>UCL 33%</c:v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'M&amp;M Data'!$Y$25:$Y$84</c:f>
              <c:numCache>
                <c:formatCode>0.00</c:formatCode>
                <c:ptCount val="60"/>
                <c:pt idx="0">
                  <c:v>0.32733631994986545</c:v>
                </c:pt>
                <c:pt idx="1">
                  <c:v>0.32733631994986545</c:v>
                </c:pt>
                <c:pt idx="2">
                  <c:v>0.32733631994986545</c:v>
                </c:pt>
                <c:pt idx="3">
                  <c:v>0.32733631994986545</c:v>
                </c:pt>
                <c:pt idx="4">
                  <c:v>0.32733631994986545</c:v>
                </c:pt>
                <c:pt idx="5">
                  <c:v>0.32733631994986545</c:v>
                </c:pt>
                <c:pt idx="6">
                  <c:v>0.32733631994986545</c:v>
                </c:pt>
                <c:pt idx="7">
                  <c:v>0.32733631994986545</c:v>
                </c:pt>
                <c:pt idx="8">
                  <c:v>0.32733631994986545</c:v>
                </c:pt>
                <c:pt idx="9">
                  <c:v>0.32733631994986545</c:v>
                </c:pt>
                <c:pt idx="10">
                  <c:v>0.32733631994986545</c:v>
                </c:pt>
                <c:pt idx="11">
                  <c:v>0.32733631994986545</c:v>
                </c:pt>
                <c:pt idx="12">
                  <c:v>0.32733631994986545</c:v>
                </c:pt>
                <c:pt idx="13">
                  <c:v>0.32733631994986545</c:v>
                </c:pt>
                <c:pt idx="14">
                  <c:v>0.32733631994986545</c:v>
                </c:pt>
                <c:pt idx="15">
                  <c:v>0.32733631994986545</c:v>
                </c:pt>
                <c:pt idx="16">
                  <c:v>0.32733631994986545</c:v>
                </c:pt>
                <c:pt idx="17">
                  <c:v>0.32733631994986545</c:v>
                </c:pt>
                <c:pt idx="18">
                  <c:v>0.32733631994986545</c:v>
                </c:pt>
                <c:pt idx="19">
                  <c:v>0.32733631994986545</c:v>
                </c:pt>
                <c:pt idx="20">
                  <c:v>0.32733631994986545</c:v>
                </c:pt>
                <c:pt idx="21">
                  <c:v>0.32733631994986545</c:v>
                </c:pt>
                <c:pt idx="22">
                  <c:v>0.32733631994986545</c:v>
                </c:pt>
                <c:pt idx="23">
                  <c:v>0.32733631994986545</c:v>
                </c:pt>
                <c:pt idx="24">
                  <c:v>0.32733631994986545</c:v>
                </c:pt>
                <c:pt idx="25">
                  <c:v>0.32733631994986545</c:v>
                </c:pt>
                <c:pt idx="26">
                  <c:v>0.32733631994986545</c:v>
                </c:pt>
                <c:pt idx="27">
                  <c:v>0.32733631994986545</c:v>
                </c:pt>
                <c:pt idx="28">
                  <c:v>0.32733631994986545</c:v>
                </c:pt>
                <c:pt idx="29">
                  <c:v>0.32733631994986545</c:v>
                </c:pt>
                <c:pt idx="30">
                  <c:v>0.32733631994986545</c:v>
                </c:pt>
                <c:pt idx="31">
                  <c:v>0.32733631994986545</c:v>
                </c:pt>
                <c:pt idx="32">
                  <c:v>0.32733631994986545</c:v>
                </c:pt>
                <c:pt idx="33">
                  <c:v>0.32733631994986545</c:v>
                </c:pt>
                <c:pt idx="34">
                  <c:v>0.32733631994986545</c:v>
                </c:pt>
                <c:pt idx="35">
                  <c:v>0.32733631994986545</c:v>
                </c:pt>
                <c:pt idx="36">
                  <c:v>0.32733631994986545</c:v>
                </c:pt>
                <c:pt idx="37">
                  <c:v>0.32733631994986545</c:v>
                </c:pt>
                <c:pt idx="38">
                  <c:v>0.32733631994986545</c:v>
                </c:pt>
                <c:pt idx="39">
                  <c:v>0.32733631994986545</c:v>
                </c:pt>
                <c:pt idx="40">
                  <c:v>0.32733631994986545</c:v>
                </c:pt>
                <c:pt idx="41">
                  <c:v>0.32733631994986545</c:v>
                </c:pt>
                <c:pt idx="42">
                  <c:v>0.32733631994986545</c:v>
                </c:pt>
                <c:pt idx="43">
                  <c:v>0.32733631994986545</c:v>
                </c:pt>
                <c:pt idx="44">
                  <c:v>0.32733631994986545</c:v>
                </c:pt>
                <c:pt idx="45">
                  <c:v>0.32733631994986545</c:v>
                </c:pt>
                <c:pt idx="46">
                  <c:v>0.32733631994986545</c:v>
                </c:pt>
                <c:pt idx="47">
                  <c:v>0.32733631994986545</c:v>
                </c:pt>
                <c:pt idx="48">
                  <c:v>0.32733631994986545</c:v>
                </c:pt>
                <c:pt idx="49">
                  <c:v>0.32733631994986545</c:v>
                </c:pt>
                <c:pt idx="50">
                  <c:v>0.32733631994986545</c:v>
                </c:pt>
                <c:pt idx="51">
                  <c:v>0.32733631994986545</c:v>
                </c:pt>
                <c:pt idx="52">
                  <c:v>0.32733631994986545</c:v>
                </c:pt>
                <c:pt idx="53">
                  <c:v>0.32733631994986545</c:v>
                </c:pt>
                <c:pt idx="54">
                  <c:v>0.32733631994986545</c:v>
                </c:pt>
                <c:pt idx="55">
                  <c:v>0.32733631994986545</c:v>
                </c:pt>
                <c:pt idx="56">
                  <c:v>0.32733631994986545</c:v>
                </c:pt>
                <c:pt idx="57">
                  <c:v>0.32733631994986545</c:v>
                </c:pt>
                <c:pt idx="58">
                  <c:v>0.32733631994986545</c:v>
                </c:pt>
                <c:pt idx="59">
                  <c:v>0.32733631994986545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68-411A-A24C-B29413942B61}"/>
            </c:ext>
          </c:extLst>
        </c:ser>
        <c:ser>
          <c:idx val="3"/>
          <c:order val="3"/>
          <c:tx>
            <c:v>Sample Percent</c:v>
          </c:tx>
          <c:spPr>
            <a:ln w="34925" cap="rnd">
              <a:solidFill>
                <a:schemeClr val="accent6">
                  <a:lumMod val="7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'M&amp;M Data'!$L$3:$L$62</c:f>
              <c:numCache>
                <c:formatCode>0%</c:formatCode>
                <c:ptCount val="60"/>
                <c:pt idx="0">
                  <c:v>0.17857142857142858</c:v>
                </c:pt>
                <c:pt idx="1">
                  <c:v>0.12727272727272726</c:v>
                </c:pt>
                <c:pt idx="2">
                  <c:v>5.7692307692307696E-2</c:v>
                </c:pt>
                <c:pt idx="3">
                  <c:v>0.14285714285714285</c:v>
                </c:pt>
                <c:pt idx="4">
                  <c:v>0.22413793103448276</c:v>
                </c:pt>
                <c:pt idx="5">
                  <c:v>0.22807017543859648</c:v>
                </c:pt>
                <c:pt idx="6">
                  <c:v>0.12727272727272726</c:v>
                </c:pt>
                <c:pt idx="7">
                  <c:v>0.14285714285714285</c:v>
                </c:pt>
                <c:pt idx="8">
                  <c:v>0.12962962962962962</c:v>
                </c:pt>
                <c:pt idx="9">
                  <c:v>0.12727272727272726</c:v>
                </c:pt>
                <c:pt idx="10">
                  <c:v>0.20370370370370369</c:v>
                </c:pt>
                <c:pt idx="11">
                  <c:v>0.125</c:v>
                </c:pt>
                <c:pt idx="12">
                  <c:v>0.25454545454545452</c:v>
                </c:pt>
                <c:pt idx="13">
                  <c:v>0.30909090909090908</c:v>
                </c:pt>
                <c:pt idx="14">
                  <c:v>0.16363636363636364</c:v>
                </c:pt>
                <c:pt idx="15">
                  <c:v>0.14545454545454545</c:v>
                </c:pt>
                <c:pt idx="16">
                  <c:v>0.15384615384615385</c:v>
                </c:pt>
                <c:pt idx="17">
                  <c:v>0.15094339622641509</c:v>
                </c:pt>
                <c:pt idx="18">
                  <c:v>8.771929824561403E-2</c:v>
                </c:pt>
                <c:pt idx="19">
                  <c:v>0.21818181818181817</c:v>
                </c:pt>
                <c:pt idx="20">
                  <c:v>0.10714285714285714</c:v>
                </c:pt>
                <c:pt idx="21">
                  <c:v>0.23636363636363636</c:v>
                </c:pt>
                <c:pt idx="22">
                  <c:v>0.23214285714285715</c:v>
                </c:pt>
                <c:pt idx="23">
                  <c:v>0.21052631578947367</c:v>
                </c:pt>
                <c:pt idx="24">
                  <c:v>0.26315789473684209</c:v>
                </c:pt>
                <c:pt idx="25">
                  <c:v>8.9285714285714288E-2</c:v>
                </c:pt>
                <c:pt idx="26">
                  <c:v>0.32142857142857145</c:v>
                </c:pt>
                <c:pt idx="27">
                  <c:v>0.16666666666666666</c:v>
                </c:pt>
                <c:pt idx="28">
                  <c:v>0.22807017543859648</c:v>
                </c:pt>
                <c:pt idx="29">
                  <c:v>0.16071428571428573</c:v>
                </c:pt>
                <c:pt idx="30">
                  <c:v>7.407407407407407E-2</c:v>
                </c:pt>
                <c:pt idx="31">
                  <c:v>0.12727272727272726</c:v>
                </c:pt>
                <c:pt idx="32">
                  <c:v>0.15789473684210525</c:v>
                </c:pt>
                <c:pt idx="33">
                  <c:v>9.0909090909090912E-2</c:v>
                </c:pt>
                <c:pt idx="34">
                  <c:v>0.10909090909090909</c:v>
                </c:pt>
                <c:pt idx="35">
                  <c:v>0.17857142857142858</c:v>
                </c:pt>
                <c:pt idx="36">
                  <c:v>0.18181818181818182</c:v>
                </c:pt>
                <c:pt idx="37">
                  <c:v>0.14545454545454545</c:v>
                </c:pt>
                <c:pt idx="38">
                  <c:v>0.15789473684210525</c:v>
                </c:pt>
                <c:pt idx="39">
                  <c:v>0.21428571428571427</c:v>
                </c:pt>
                <c:pt idx="40">
                  <c:v>0.12962962962962962</c:v>
                </c:pt>
                <c:pt idx="41">
                  <c:v>0.16363636363636364</c:v>
                </c:pt>
                <c:pt idx="42">
                  <c:v>0.22807017543859648</c:v>
                </c:pt>
                <c:pt idx="43">
                  <c:v>0.14814814814814814</c:v>
                </c:pt>
                <c:pt idx="44">
                  <c:v>0.28301886792452829</c:v>
                </c:pt>
                <c:pt idx="45">
                  <c:v>0.14545454545454545</c:v>
                </c:pt>
                <c:pt idx="46">
                  <c:v>0.24561403508771928</c:v>
                </c:pt>
                <c:pt idx="47">
                  <c:v>0.16981132075471697</c:v>
                </c:pt>
                <c:pt idx="48">
                  <c:v>0.22807017543859648</c:v>
                </c:pt>
                <c:pt idx="49">
                  <c:v>0.27586206896551724</c:v>
                </c:pt>
                <c:pt idx="50">
                  <c:v>0.17857142857142858</c:v>
                </c:pt>
                <c:pt idx="51">
                  <c:v>0.12727272727272726</c:v>
                </c:pt>
                <c:pt idx="52">
                  <c:v>0.21818181818181817</c:v>
                </c:pt>
                <c:pt idx="53">
                  <c:v>0.19642857142857142</c:v>
                </c:pt>
                <c:pt idx="54">
                  <c:v>0.14285714285714285</c:v>
                </c:pt>
                <c:pt idx="55">
                  <c:v>0.16666666666666666</c:v>
                </c:pt>
                <c:pt idx="56">
                  <c:v>0.12727272727272726</c:v>
                </c:pt>
                <c:pt idx="57">
                  <c:v>0.2</c:v>
                </c:pt>
                <c:pt idx="58">
                  <c:v>0.14285714285714285</c:v>
                </c:pt>
                <c:pt idx="59">
                  <c:v>0.16666666666666666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68-411A-A24C-B29413942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378079"/>
        <c:axId val="255378495"/>
      </c:lineChart>
      <c:catAx>
        <c:axId val="255378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</a:t>
                </a:r>
                <a:r>
                  <a:rPr lang="en-US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378495"/>
        <c:crosses val="autoZero"/>
        <c:auto val="1"/>
        <c:lblAlgn val="ctr"/>
        <c:lblOffset val="100"/>
        <c:noMultiLvlLbl val="0"/>
      </c:catAx>
      <c:valAx>
        <c:axId val="25537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  <a:r>
                  <a:rPr lang="en-US" baseline="0"/>
                  <a:t> of Color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378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</a:t>
            </a:r>
            <a:r>
              <a:rPr lang="en-US" baseline="0"/>
              <a:t> Chart: Yellow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LCL 0%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'M&amp;M Data'!$Z$25:$Z$84</c:f>
              <c:numCache>
                <c:formatCode>0.00</c:formatCode>
                <c:ptCount val="60"/>
                <c:pt idx="0">
                  <c:v>2.9218818762108689E-3</c:v>
                </c:pt>
                <c:pt idx="1">
                  <c:v>2.9218818762108689E-3</c:v>
                </c:pt>
                <c:pt idx="2">
                  <c:v>2.9218818762108689E-3</c:v>
                </c:pt>
                <c:pt idx="3">
                  <c:v>2.9218818762108689E-3</c:v>
                </c:pt>
                <c:pt idx="4">
                  <c:v>2.9218818762108689E-3</c:v>
                </c:pt>
                <c:pt idx="5">
                  <c:v>2.9218818762108689E-3</c:v>
                </c:pt>
                <c:pt idx="6">
                  <c:v>2.9218818762108689E-3</c:v>
                </c:pt>
                <c:pt idx="7">
                  <c:v>2.9218818762108689E-3</c:v>
                </c:pt>
                <c:pt idx="8">
                  <c:v>2.9218818762108689E-3</c:v>
                </c:pt>
                <c:pt idx="9">
                  <c:v>2.9218818762108689E-3</c:v>
                </c:pt>
                <c:pt idx="10">
                  <c:v>2.9218818762108689E-3</c:v>
                </c:pt>
                <c:pt idx="11">
                  <c:v>2.9218818762108689E-3</c:v>
                </c:pt>
                <c:pt idx="12">
                  <c:v>2.9218818762108689E-3</c:v>
                </c:pt>
                <c:pt idx="13">
                  <c:v>2.9218818762108689E-3</c:v>
                </c:pt>
                <c:pt idx="14">
                  <c:v>2.9218818762108689E-3</c:v>
                </c:pt>
                <c:pt idx="15">
                  <c:v>2.9218818762108689E-3</c:v>
                </c:pt>
                <c:pt idx="16">
                  <c:v>2.9218818762108689E-3</c:v>
                </c:pt>
                <c:pt idx="17">
                  <c:v>2.9218818762108689E-3</c:v>
                </c:pt>
                <c:pt idx="18">
                  <c:v>2.9218818762108689E-3</c:v>
                </c:pt>
                <c:pt idx="19">
                  <c:v>2.9218818762108689E-3</c:v>
                </c:pt>
                <c:pt idx="20">
                  <c:v>2.9218818762108689E-3</c:v>
                </c:pt>
                <c:pt idx="21">
                  <c:v>2.9218818762108689E-3</c:v>
                </c:pt>
                <c:pt idx="22">
                  <c:v>2.9218818762108689E-3</c:v>
                </c:pt>
                <c:pt idx="23">
                  <c:v>2.9218818762108689E-3</c:v>
                </c:pt>
                <c:pt idx="24">
                  <c:v>2.9218818762108689E-3</c:v>
                </c:pt>
                <c:pt idx="25">
                  <c:v>2.9218818762108689E-3</c:v>
                </c:pt>
                <c:pt idx="26">
                  <c:v>2.9218818762108689E-3</c:v>
                </c:pt>
                <c:pt idx="27">
                  <c:v>2.9218818762108689E-3</c:v>
                </c:pt>
                <c:pt idx="28">
                  <c:v>2.9218818762108689E-3</c:v>
                </c:pt>
                <c:pt idx="29">
                  <c:v>2.9218818762108689E-3</c:v>
                </c:pt>
                <c:pt idx="30">
                  <c:v>2.9218818762108689E-3</c:v>
                </c:pt>
                <c:pt idx="31">
                  <c:v>2.9218818762108689E-3</c:v>
                </c:pt>
                <c:pt idx="32">
                  <c:v>2.9218818762108689E-3</c:v>
                </c:pt>
                <c:pt idx="33">
                  <c:v>2.9218818762108689E-3</c:v>
                </c:pt>
                <c:pt idx="34">
                  <c:v>2.9218818762108689E-3</c:v>
                </c:pt>
                <c:pt idx="35">
                  <c:v>2.9218818762108689E-3</c:v>
                </c:pt>
                <c:pt idx="36">
                  <c:v>2.9218818762108689E-3</c:v>
                </c:pt>
                <c:pt idx="37">
                  <c:v>2.9218818762108689E-3</c:v>
                </c:pt>
                <c:pt idx="38">
                  <c:v>2.9218818762108689E-3</c:v>
                </c:pt>
                <c:pt idx="39">
                  <c:v>2.9218818762108689E-3</c:v>
                </c:pt>
                <c:pt idx="40">
                  <c:v>2.9218818762108689E-3</c:v>
                </c:pt>
                <c:pt idx="41">
                  <c:v>2.9218818762108689E-3</c:v>
                </c:pt>
                <c:pt idx="42">
                  <c:v>2.9218818762108689E-3</c:v>
                </c:pt>
                <c:pt idx="43">
                  <c:v>2.9218818762108689E-3</c:v>
                </c:pt>
                <c:pt idx="44">
                  <c:v>2.9218818762108689E-3</c:v>
                </c:pt>
                <c:pt idx="45">
                  <c:v>2.9218818762108689E-3</c:v>
                </c:pt>
                <c:pt idx="46">
                  <c:v>2.9218818762108689E-3</c:v>
                </c:pt>
                <c:pt idx="47">
                  <c:v>2.9218818762108689E-3</c:v>
                </c:pt>
                <c:pt idx="48">
                  <c:v>2.9218818762108689E-3</c:v>
                </c:pt>
                <c:pt idx="49">
                  <c:v>2.9218818762108689E-3</c:v>
                </c:pt>
                <c:pt idx="50">
                  <c:v>2.9218818762108689E-3</c:v>
                </c:pt>
                <c:pt idx="51">
                  <c:v>2.9218818762108689E-3</c:v>
                </c:pt>
                <c:pt idx="52">
                  <c:v>2.9218818762108689E-3</c:v>
                </c:pt>
                <c:pt idx="53">
                  <c:v>2.9218818762108689E-3</c:v>
                </c:pt>
                <c:pt idx="54">
                  <c:v>2.9218818762108689E-3</c:v>
                </c:pt>
                <c:pt idx="55">
                  <c:v>2.9218818762108689E-3</c:v>
                </c:pt>
                <c:pt idx="56">
                  <c:v>2.9218818762108689E-3</c:v>
                </c:pt>
                <c:pt idx="57">
                  <c:v>2.9218818762108689E-3</c:v>
                </c:pt>
                <c:pt idx="58">
                  <c:v>2.9218818762108689E-3</c:v>
                </c:pt>
                <c:pt idx="59">
                  <c:v>2.9218818762108689E-3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14-45BA-A1B0-BF46837E7371}"/>
            </c:ext>
          </c:extLst>
        </c:ser>
        <c:ser>
          <c:idx val="1"/>
          <c:order val="1"/>
          <c:tx>
            <c:v>CL 14%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'M&amp;M Data'!$AA$25:$AA$84</c:f>
              <c:numCache>
                <c:formatCode>0.00</c:formatCode>
                <c:ptCount val="60"/>
                <c:pt idx="0">
                  <c:v>0.14000000000000001</c:v>
                </c:pt>
                <c:pt idx="1">
                  <c:v>0.14000000000000001</c:v>
                </c:pt>
                <c:pt idx="2">
                  <c:v>0.14000000000000001</c:v>
                </c:pt>
                <c:pt idx="3">
                  <c:v>0.14000000000000001</c:v>
                </c:pt>
                <c:pt idx="4">
                  <c:v>0.14000000000000001</c:v>
                </c:pt>
                <c:pt idx="5">
                  <c:v>0.14000000000000001</c:v>
                </c:pt>
                <c:pt idx="6">
                  <c:v>0.14000000000000001</c:v>
                </c:pt>
                <c:pt idx="7">
                  <c:v>0.14000000000000001</c:v>
                </c:pt>
                <c:pt idx="8">
                  <c:v>0.14000000000000001</c:v>
                </c:pt>
                <c:pt idx="9">
                  <c:v>0.14000000000000001</c:v>
                </c:pt>
                <c:pt idx="10">
                  <c:v>0.14000000000000001</c:v>
                </c:pt>
                <c:pt idx="11">
                  <c:v>0.14000000000000001</c:v>
                </c:pt>
                <c:pt idx="12">
                  <c:v>0.14000000000000001</c:v>
                </c:pt>
                <c:pt idx="13">
                  <c:v>0.14000000000000001</c:v>
                </c:pt>
                <c:pt idx="14">
                  <c:v>0.14000000000000001</c:v>
                </c:pt>
                <c:pt idx="15">
                  <c:v>0.14000000000000001</c:v>
                </c:pt>
                <c:pt idx="16">
                  <c:v>0.14000000000000001</c:v>
                </c:pt>
                <c:pt idx="17">
                  <c:v>0.14000000000000001</c:v>
                </c:pt>
                <c:pt idx="18">
                  <c:v>0.14000000000000001</c:v>
                </c:pt>
                <c:pt idx="19">
                  <c:v>0.14000000000000001</c:v>
                </c:pt>
                <c:pt idx="20">
                  <c:v>0.14000000000000001</c:v>
                </c:pt>
                <c:pt idx="21">
                  <c:v>0.14000000000000001</c:v>
                </c:pt>
                <c:pt idx="22">
                  <c:v>0.14000000000000001</c:v>
                </c:pt>
                <c:pt idx="23">
                  <c:v>0.14000000000000001</c:v>
                </c:pt>
                <c:pt idx="24">
                  <c:v>0.14000000000000001</c:v>
                </c:pt>
                <c:pt idx="25">
                  <c:v>0.14000000000000001</c:v>
                </c:pt>
                <c:pt idx="26">
                  <c:v>0.14000000000000001</c:v>
                </c:pt>
                <c:pt idx="27">
                  <c:v>0.14000000000000001</c:v>
                </c:pt>
                <c:pt idx="28">
                  <c:v>0.14000000000000001</c:v>
                </c:pt>
                <c:pt idx="29">
                  <c:v>0.14000000000000001</c:v>
                </c:pt>
                <c:pt idx="30">
                  <c:v>0.14000000000000001</c:v>
                </c:pt>
                <c:pt idx="31">
                  <c:v>0.14000000000000001</c:v>
                </c:pt>
                <c:pt idx="32">
                  <c:v>0.14000000000000001</c:v>
                </c:pt>
                <c:pt idx="33">
                  <c:v>0.14000000000000001</c:v>
                </c:pt>
                <c:pt idx="34">
                  <c:v>0.14000000000000001</c:v>
                </c:pt>
                <c:pt idx="35">
                  <c:v>0.14000000000000001</c:v>
                </c:pt>
                <c:pt idx="36">
                  <c:v>0.14000000000000001</c:v>
                </c:pt>
                <c:pt idx="37">
                  <c:v>0.14000000000000001</c:v>
                </c:pt>
                <c:pt idx="38">
                  <c:v>0.14000000000000001</c:v>
                </c:pt>
                <c:pt idx="39">
                  <c:v>0.14000000000000001</c:v>
                </c:pt>
                <c:pt idx="40">
                  <c:v>0.14000000000000001</c:v>
                </c:pt>
                <c:pt idx="41">
                  <c:v>0.14000000000000001</c:v>
                </c:pt>
                <c:pt idx="42">
                  <c:v>0.14000000000000001</c:v>
                </c:pt>
                <c:pt idx="43">
                  <c:v>0.14000000000000001</c:v>
                </c:pt>
                <c:pt idx="44">
                  <c:v>0.14000000000000001</c:v>
                </c:pt>
                <c:pt idx="45">
                  <c:v>0.14000000000000001</c:v>
                </c:pt>
                <c:pt idx="46">
                  <c:v>0.14000000000000001</c:v>
                </c:pt>
                <c:pt idx="47">
                  <c:v>0.14000000000000001</c:v>
                </c:pt>
                <c:pt idx="48">
                  <c:v>0.14000000000000001</c:v>
                </c:pt>
                <c:pt idx="49">
                  <c:v>0.14000000000000001</c:v>
                </c:pt>
                <c:pt idx="50">
                  <c:v>0.14000000000000001</c:v>
                </c:pt>
                <c:pt idx="51">
                  <c:v>0.14000000000000001</c:v>
                </c:pt>
                <c:pt idx="52">
                  <c:v>0.14000000000000001</c:v>
                </c:pt>
                <c:pt idx="53">
                  <c:v>0.14000000000000001</c:v>
                </c:pt>
                <c:pt idx="54">
                  <c:v>0.14000000000000001</c:v>
                </c:pt>
                <c:pt idx="55">
                  <c:v>0.14000000000000001</c:v>
                </c:pt>
                <c:pt idx="56">
                  <c:v>0.14000000000000001</c:v>
                </c:pt>
                <c:pt idx="57">
                  <c:v>0.14000000000000001</c:v>
                </c:pt>
                <c:pt idx="58">
                  <c:v>0.14000000000000001</c:v>
                </c:pt>
                <c:pt idx="59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14-45BA-A1B0-BF46837E7371}"/>
            </c:ext>
          </c:extLst>
        </c:ser>
        <c:ser>
          <c:idx val="2"/>
          <c:order val="2"/>
          <c:tx>
            <c:v>UCL 29%</c:v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'M&amp;M Data'!$AB$25:$AB$84</c:f>
              <c:numCache>
                <c:formatCode>0.00</c:formatCode>
                <c:ptCount val="60"/>
                <c:pt idx="0">
                  <c:v>0.28674990373053411</c:v>
                </c:pt>
                <c:pt idx="1">
                  <c:v>0.28674990373053411</c:v>
                </c:pt>
                <c:pt idx="2">
                  <c:v>0.28674990373053411</c:v>
                </c:pt>
                <c:pt idx="3">
                  <c:v>0.28674990373053411</c:v>
                </c:pt>
                <c:pt idx="4">
                  <c:v>0.28674990373053411</c:v>
                </c:pt>
                <c:pt idx="5">
                  <c:v>0.28674990373053411</c:v>
                </c:pt>
                <c:pt idx="6">
                  <c:v>0.28674990373053411</c:v>
                </c:pt>
                <c:pt idx="7">
                  <c:v>0.28674990373053411</c:v>
                </c:pt>
                <c:pt idx="8">
                  <c:v>0.28674990373053411</c:v>
                </c:pt>
                <c:pt idx="9">
                  <c:v>0.28674990373053411</c:v>
                </c:pt>
                <c:pt idx="10">
                  <c:v>0.28674990373053411</c:v>
                </c:pt>
                <c:pt idx="11">
                  <c:v>0.28674990373053411</c:v>
                </c:pt>
                <c:pt idx="12">
                  <c:v>0.28674990373053411</c:v>
                </c:pt>
                <c:pt idx="13">
                  <c:v>0.28674990373053411</c:v>
                </c:pt>
                <c:pt idx="14">
                  <c:v>0.28674990373053411</c:v>
                </c:pt>
                <c:pt idx="15">
                  <c:v>0.28674990373053411</c:v>
                </c:pt>
                <c:pt idx="16">
                  <c:v>0.28674990373053411</c:v>
                </c:pt>
                <c:pt idx="17">
                  <c:v>0.28674990373053411</c:v>
                </c:pt>
                <c:pt idx="18">
                  <c:v>0.28674990373053411</c:v>
                </c:pt>
                <c:pt idx="19">
                  <c:v>0.28674990373053411</c:v>
                </c:pt>
                <c:pt idx="20">
                  <c:v>0.28674990373053411</c:v>
                </c:pt>
                <c:pt idx="21">
                  <c:v>0.28674990373053411</c:v>
                </c:pt>
                <c:pt idx="22">
                  <c:v>0.28674990373053411</c:v>
                </c:pt>
                <c:pt idx="23">
                  <c:v>0.28674990373053411</c:v>
                </c:pt>
                <c:pt idx="24">
                  <c:v>0.28674990373053411</c:v>
                </c:pt>
                <c:pt idx="25">
                  <c:v>0.28674990373053411</c:v>
                </c:pt>
                <c:pt idx="26">
                  <c:v>0.28674990373053411</c:v>
                </c:pt>
                <c:pt idx="27">
                  <c:v>0.28674990373053411</c:v>
                </c:pt>
                <c:pt idx="28">
                  <c:v>0.28674990373053411</c:v>
                </c:pt>
                <c:pt idx="29">
                  <c:v>0.28674990373053411</c:v>
                </c:pt>
                <c:pt idx="30">
                  <c:v>0.28674990373053411</c:v>
                </c:pt>
                <c:pt idx="31">
                  <c:v>0.28674990373053411</c:v>
                </c:pt>
                <c:pt idx="32">
                  <c:v>0.28674990373053411</c:v>
                </c:pt>
                <c:pt idx="33">
                  <c:v>0.28674990373053411</c:v>
                </c:pt>
                <c:pt idx="34">
                  <c:v>0.28674990373053411</c:v>
                </c:pt>
                <c:pt idx="35">
                  <c:v>0.28674990373053411</c:v>
                </c:pt>
                <c:pt idx="36">
                  <c:v>0.28674990373053411</c:v>
                </c:pt>
                <c:pt idx="37">
                  <c:v>0.28674990373053411</c:v>
                </c:pt>
                <c:pt idx="38">
                  <c:v>0.28674990373053411</c:v>
                </c:pt>
                <c:pt idx="39">
                  <c:v>0.28674990373053411</c:v>
                </c:pt>
                <c:pt idx="40">
                  <c:v>0.28674990373053411</c:v>
                </c:pt>
                <c:pt idx="41">
                  <c:v>0.28674990373053411</c:v>
                </c:pt>
                <c:pt idx="42">
                  <c:v>0.28674990373053411</c:v>
                </c:pt>
                <c:pt idx="43">
                  <c:v>0.28674990373053411</c:v>
                </c:pt>
                <c:pt idx="44">
                  <c:v>0.28674990373053411</c:v>
                </c:pt>
                <c:pt idx="45">
                  <c:v>0.28674990373053411</c:v>
                </c:pt>
                <c:pt idx="46">
                  <c:v>0.28674990373053411</c:v>
                </c:pt>
                <c:pt idx="47">
                  <c:v>0.28674990373053411</c:v>
                </c:pt>
                <c:pt idx="48">
                  <c:v>0.28674990373053411</c:v>
                </c:pt>
                <c:pt idx="49">
                  <c:v>0.28674990373053411</c:v>
                </c:pt>
                <c:pt idx="50">
                  <c:v>0.28674990373053411</c:v>
                </c:pt>
                <c:pt idx="51">
                  <c:v>0.28674990373053411</c:v>
                </c:pt>
                <c:pt idx="52">
                  <c:v>0.28674990373053411</c:v>
                </c:pt>
                <c:pt idx="53">
                  <c:v>0.28674990373053411</c:v>
                </c:pt>
                <c:pt idx="54">
                  <c:v>0.28674990373053411</c:v>
                </c:pt>
                <c:pt idx="55">
                  <c:v>0.28674990373053411</c:v>
                </c:pt>
                <c:pt idx="56">
                  <c:v>0.28674990373053411</c:v>
                </c:pt>
                <c:pt idx="57">
                  <c:v>0.28674990373053411</c:v>
                </c:pt>
                <c:pt idx="58">
                  <c:v>0.28674990373053411</c:v>
                </c:pt>
                <c:pt idx="59">
                  <c:v>0.28674990373053411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14-45BA-A1B0-BF46837E7371}"/>
            </c:ext>
          </c:extLst>
        </c:ser>
        <c:ser>
          <c:idx val="3"/>
          <c:order val="3"/>
          <c:tx>
            <c:v>Sample Percent</c:v>
          </c:tx>
          <c:spPr>
            <a:ln w="34925" cap="rnd">
              <a:solidFill>
                <a:srgbClr val="FFFF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'M&amp;M Data'!$M$3:$M$62</c:f>
              <c:numCache>
                <c:formatCode>0%</c:formatCode>
                <c:ptCount val="60"/>
                <c:pt idx="0">
                  <c:v>0.125</c:v>
                </c:pt>
                <c:pt idx="1">
                  <c:v>7.2727272727272724E-2</c:v>
                </c:pt>
                <c:pt idx="2">
                  <c:v>0.21153846153846154</c:v>
                </c:pt>
                <c:pt idx="3">
                  <c:v>0.125</c:v>
                </c:pt>
                <c:pt idx="4">
                  <c:v>3.4482758620689655E-2</c:v>
                </c:pt>
                <c:pt idx="5">
                  <c:v>7.0175438596491224E-2</c:v>
                </c:pt>
                <c:pt idx="6">
                  <c:v>5.4545454545454543E-2</c:v>
                </c:pt>
                <c:pt idx="7">
                  <c:v>0.19642857142857142</c:v>
                </c:pt>
                <c:pt idx="8">
                  <c:v>0.14814814814814814</c:v>
                </c:pt>
                <c:pt idx="9">
                  <c:v>9.0909090909090912E-2</c:v>
                </c:pt>
                <c:pt idx="10">
                  <c:v>5.5555555555555552E-2</c:v>
                </c:pt>
                <c:pt idx="11">
                  <c:v>0.16071428571428573</c:v>
                </c:pt>
                <c:pt idx="12">
                  <c:v>0.14545454545454545</c:v>
                </c:pt>
                <c:pt idx="13">
                  <c:v>0.10909090909090909</c:v>
                </c:pt>
                <c:pt idx="14">
                  <c:v>0.14545454545454545</c:v>
                </c:pt>
                <c:pt idx="15">
                  <c:v>0.21818181818181817</c:v>
                </c:pt>
                <c:pt idx="16">
                  <c:v>7.6923076923076927E-2</c:v>
                </c:pt>
                <c:pt idx="17">
                  <c:v>0.11320754716981132</c:v>
                </c:pt>
                <c:pt idx="18">
                  <c:v>0.17543859649122806</c:v>
                </c:pt>
                <c:pt idx="19">
                  <c:v>0.12727272727272726</c:v>
                </c:pt>
                <c:pt idx="20">
                  <c:v>0.19642857142857142</c:v>
                </c:pt>
                <c:pt idx="21">
                  <c:v>9.0909090909090912E-2</c:v>
                </c:pt>
                <c:pt idx="22">
                  <c:v>0.17857142857142858</c:v>
                </c:pt>
                <c:pt idx="23">
                  <c:v>0.2807017543859649</c:v>
                </c:pt>
                <c:pt idx="24">
                  <c:v>0.15789473684210525</c:v>
                </c:pt>
                <c:pt idx="25">
                  <c:v>0.14285714285714285</c:v>
                </c:pt>
                <c:pt idx="26">
                  <c:v>0.125</c:v>
                </c:pt>
                <c:pt idx="27">
                  <c:v>0.20370370370370369</c:v>
                </c:pt>
                <c:pt idx="28">
                  <c:v>0.17543859649122806</c:v>
                </c:pt>
                <c:pt idx="29">
                  <c:v>0.10714285714285714</c:v>
                </c:pt>
                <c:pt idx="30">
                  <c:v>0.20370370370370369</c:v>
                </c:pt>
                <c:pt idx="31">
                  <c:v>0.10909090909090909</c:v>
                </c:pt>
                <c:pt idx="32">
                  <c:v>0.17543859649122806</c:v>
                </c:pt>
                <c:pt idx="33">
                  <c:v>0.16363636363636364</c:v>
                </c:pt>
                <c:pt idx="34">
                  <c:v>0.12727272727272726</c:v>
                </c:pt>
                <c:pt idx="35">
                  <c:v>0.14285714285714285</c:v>
                </c:pt>
                <c:pt idx="36">
                  <c:v>0.14545454545454545</c:v>
                </c:pt>
                <c:pt idx="37">
                  <c:v>0.12727272727272726</c:v>
                </c:pt>
                <c:pt idx="38">
                  <c:v>0.12280701754385964</c:v>
                </c:pt>
                <c:pt idx="39">
                  <c:v>0.19642857142857142</c:v>
                </c:pt>
                <c:pt idx="40">
                  <c:v>0.18518518518518517</c:v>
                </c:pt>
                <c:pt idx="41">
                  <c:v>0.2</c:v>
                </c:pt>
                <c:pt idx="42">
                  <c:v>0.12280701754385964</c:v>
                </c:pt>
                <c:pt idx="43">
                  <c:v>0.16666666666666666</c:v>
                </c:pt>
                <c:pt idx="44">
                  <c:v>0.13207547169811321</c:v>
                </c:pt>
                <c:pt idx="45">
                  <c:v>9.0909090909090912E-2</c:v>
                </c:pt>
                <c:pt idx="46">
                  <c:v>0.14035087719298245</c:v>
                </c:pt>
                <c:pt idx="47">
                  <c:v>0.15094339622641509</c:v>
                </c:pt>
                <c:pt idx="48">
                  <c:v>0.12280701754385964</c:v>
                </c:pt>
                <c:pt idx="49">
                  <c:v>0.10344827586206896</c:v>
                </c:pt>
                <c:pt idx="50">
                  <c:v>0.16071428571428573</c:v>
                </c:pt>
                <c:pt idx="51">
                  <c:v>0.16363636363636364</c:v>
                </c:pt>
                <c:pt idx="52">
                  <c:v>0.12727272727272726</c:v>
                </c:pt>
                <c:pt idx="53">
                  <c:v>0.25</c:v>
                </c:pt>
                <c:pt idx="54">
                  <c:v>0.17857142857142858</c:v>
                </c:pt>
                <c:pt idx="55">
                  <c:v>0.18518518518518517</c:v>
                </c:pt>
                <c:pt idx="56">
                  <c:v>0.16363636363636364</c:v>
                </c:pt>
                <c:pt idx="57">
                  <c:v>0.14545454545454545</c:v>
                </c:pt>
                <c:pt idx="58">
                  <c:v>0.125</c:v>
                </c:pt>
                <c:pt idx="59">
                  <c:v>0.14814814814814814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14-45BA-A1B0-BF46837E7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6642063"/>
        <c:axId val="666624591"/>
      </c:lineChart>
      <c:catAx>
        <c:axId val="666642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</a:t>
                </a:r>
                <a:r>
                  <a:rPr lang="en-US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624591"/>
        <c:crosses val="autoZero"/>
        <c:auto val="1"/>
        <c:lblAlgn val="ctr"/>
        <c:lblOffset val="100"/>
        <c:noMultiLvlLbl val="0"/>
      </c:catAx>
      <c:valAx>
        <c:axId val="66662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  <a:r>
                  <a:rPr lang="en-US" baseline="0"/>
                  <a:t> of Color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642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</a:t>
            </a:r>
            <a:r>
              <a:rPr lang="en-US" baseline="0"/>
              <a:t> Chart: Orange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LCL 2%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'M&amp;M Data'!$AC$25:$AC$84</c:f>
              <c:numCache>
                <c:formatCode>0.00</c:formatCode>
                <c:ptCount val="60"/>
                <c:pt idx="0">
                  <c:v>2.3728527259920917E-2</c:v>
                </c:pt>
                <c:pt idx="1">
                  <c:v>2.3728527259920917E-2</c:v>
                </c:pt>
                <c:pt idx="2">
                  <c:v>2.3728527259920917E-2</c:v>
                </c:pt>
                <c:pt idx="3">
                  <c:v>2.3728527259920917E-2</c:v>
                </c:pt>
                <c:pt idx="4">
                  <c:v>2.3728527259920917E-2</c:v>
                </c:pt>
                <c:pt idx="5">
                  <c:v>2.3728527259920917E-2</c:v>
                </c:pt>
                <c:pt idx="6">
                  <c:v>2.3728527259920917E-2</c:v>
                </c:pt>
                <c:pt idx="7">
                  <c:v>2.3728527259920917E-2</c:v>
                </c:pt>
                <c:pt idx="8">
                  <c:v>2.3728527259920917E-2</c:v>
                </c:pt>
                <c:pt idx="9">
                  <c:v>2.3728527259920917E-2</c:v>
                </c:pt>
                <c:pt idx="10">
                  <c:v>2.3728527259920917E-2</c:v>
                </c:pt>
                <c:pt idx="11">
                  <c:v>2.3728527259920917E-2</c:v>
                </c:pt>
                <c:pt idx="12">
                  <c:v>2.3728527259920917E-2</c:v>
                </c:pt>
                <c:pt idx="13">
                  <c:v>2.3728527259920917E-2</c:v>
                </c:pt>
                <c:pt idx="14">
                  <c:v>2.3728527259920917E-2</c:v>
                </c:pt>
                <c:pt idx="15">
                  <c:v>2.3728527259920917E-2</c:v>
                </c:pt>
                <c:pt idx="16">
                  <c:v>2.3728527259920917E-2</c:v>
                </c:pt>
                <c:pt idx="17">
                  <c:v>2.3728527259920917E-2</c:v>
                </c:pt>
                <c:pt idx="18">
                  <c:v>2.3728527259920917E-2</c:v>
                </c:pt>
                <c:pt idx="19">
                  <c:v>2.3728527259920917E-2</c:v>
                </c:pt>
                <c:pt idx="20">
                  <c:v>2.3728527259920917E-2</c:v>
                </c:pt>
                <c:pt idx="21">
                  <c:v>2.3728527259920917E-2</c:v>
                </c:pt>
                <c:pt idx="22">
                  <c:v>2.3728527259920917E-2</c:v>
                </c:pt>
                <c:pt idx="23">
                  <c:v>2.3728527259920917E-2</c:v>
                </c:pt>
                <c:pt idx="24">
                  <c:v>2.3728527259920917E-2</c:v>
                </c:pt>
                <c:pt idx="25">
                  <c:v>2.3728527259920917E-2</c:v>
                </c:pt>
                <c:pt idx="26">
                  <c:v>2.3728527259920917E-2</c:v>
                </c:pt>
                <c:pt idx="27">
                  <c:v>2.3728527259920917E-2</c:v>
                </c:pt>
                <c:pt idx="28">
                  <c:v>2.3728527259920917E-2</c:v>
                </c:pt>
                <c:pt idx="29">
                  <c:v>2.3728527259920917E-2</c:v>
                </c:pt>
                <c:pt idx="30">
                  <c:v>2.3728527259920917E-2</c:v>
                </c:pt>
                <c:pt idx="31">
                  <c:v>2.3728527259920917E-2</c:v>
                </c:pt>
                <c:pt idx="32">
                  <c:v>2.3728527259920917E-2</c:v>
                </c:pt>
                <c:pt idx="33">
                  <c:v>2.3728527259920917E-2</c:v>
                </c:pt>
                <c:pt idx="34">
                  <c:v>2.3728527259920917E-2</c:v>
                </c:pt>
                <c:pt idx="35">
                  <c:v>2.3728527259920917E-2</c:v>
                </c:pt>
                <c:pt idx="36">
                  <c:v>2.3728527259920917E-2</c:v>
                </c:pt>
                <c:pt idx="37">
                  <c:v>2.3728527259920917E-2</c:v>
                </c:pt>
                <c:pt idx="38">
                  <c:v>2.3728527259920917E-2</c:v>
                </c:pt>
                <c:pt idx="39">
                  <c:v>2.3728527259920917E-2</c:v>
                </c:pt>
                <c:pt idx="40">
                  <c:v>2.3728527259920917E-2</c:v>
                </c:pt>
                <c:pt idx="41">
                  <c:v>2.3728527259920917E-2</c:v>
                </c:pt>
                <c:pt idx="42">
                  <c:v>2.3728527259920917E-2</c:v>
                </c:pt>
                <c:pt idx="43">
                  <c:v>2.3728527259920917E-2</c:v>
                </c:pt>
                <c:pt idx="44">
                  <c:v>2.3728527259920917E-2</c:v>
                </c:pt>
                <c:pt idx="45">
                  <c:v>2.3728527259920917E-2</c:v>
                </c:pt>
                <c:pt idx="46">
                  <c:v>2.3728527259920917E-2</c:v>
                </c:pt>
                <c:pt idx="47">
                  <c:v>2.3728527259920917E-2</c:v>
                </c:pt>
                <c:pt idx="48">
                  <c:v>2.3728527259920917E-2</c:v>
                </c:pt>
                <c:pt idx="49">
                  <c:v>2.3728527259920917E-2</c:v>
                </c:pt>
                <c:pt idx="50">
                  <c:v>2.3728527259920917E-2</c:v>
                </c:pt>
                <c:pt idx="51">
                  <c:v>2.3728527259920917E-2</c:v>
                </c:pt>
                <c:pt idx="52">
                  <c:v>2.3728527259920917E-2</c:v>
                </c:pt>
                <c:pt idx="53">
                  <c:v>2.3728527259920917E-2</c:v>
                </c:pt>
                <c:pt idx="54">
                  <c:v>2.3728527259920917E-2</c:v>
                </c:pt>
                <c:pt idx="55">
                  <c:v>2.3728527259920917E-2</c:v>
                </c:pt>
                <c:pt idx="56">
                  <c:v>2.3728527259920917E-2</c:v>
                </c:pt>
                <c:pt idx="57">
                  <c:v>2.3728527259920917E-2</c:v>
                </c:pt>
                <c:pt idx="58">
                  <c:v>2.3728527259920917E-2</c:v>
                </c:pt>
                <c:pt idx="59">
                  <c:v>2.3728527259920917E-2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4A-451F-8E31-6BAE3D1BD4FB}"/>
            </c:ext>
          </c:extLst>
        </c:ser>
        <c:ser>
          <c:idx val="1"/>
          <c:order val="1"/>
          <c:tx>
            <c:v>CL 20%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'M&amp;M Data'!$AD$25:$AD$84</c:f>
              <c:numCache>
                <c:formatCode>0.00</c:formatCode>
                <c:ptCount val="60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0.2</c:v>
                </c:pt>
                <c:pt idx="32">
                  <c:v>0.2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0.2</c:v>
                </c:pt>
                <c:pt idx="37">
                  <c:v>0.2</c:v>
                </c:pt>
                <c:pt idx="38">
                  <c:v>0.2</c:v>
                </c:pt>
                <c:pt idx="39">
                  <c:v>0.2</c:v>
                </c:pt>
                <c:pt idx="40">
                  <c:v>0.2</c:v>
                </c:pt>
                <c:pt idx="41">
                  <c:v>0.2</c:v>
                </c:pt>
                <c:pt idx="42">
                  <c:v>0.2</c:v>
                </c:pt>
                <c:pt idx="43">
                  <c:v>0.2</c:v>
                </c:pt>
                <c:pt idx="44">
                  <c:v>0.2</c:v>
                </c:pt>
                <c:pt idx="45">
                  <c:v>0.2</c:v>
                </c:pt>
                <c:pt idx="46">
                  <c:v>0.2</c:v>
                </c:pt>
                <c:pt idx="47">
                  <c:v>0.2</c:v>
                </c:pt>
                <c:pt idx="48">
                  <c:v>0.2</c:v>
                </c:pt>
                <c:pt idx="49">
                  <c:v>0.2</c:v>
                </c:pt>
                <c:pt idx="50">
                  <c:v>0.2</c:v>
                </c:pt>
                <c:pt idx="51">
                  <c:v>0.2</c:v>
                </c:pt>
                <c:pt idx="52">
                  <c:v>0.2</c:v>
                </c:pt>
                <c:pt idx="53">
                  <c:v>0.2</c:v>
                </c:pt>
                <c:pt idx="54">
                  <c:v>0.2</c:v>
                </c:pt>
                <c:pt idx="55">
                  <c:v>0.2</c:v>
                </c:pt>
                <c:pt idx="56">
                  <c:v>0.2</c:v>
                </c:pt>
                <c:pt idx="57">
                  <c:v>0.2</c:v>
                </c:pt>
                <c:pt idx="58">
                  <c:v>0.2</c:v>
                </c:pt>
                <c:pt idx="59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4A-451F-8E31-6BAE3D1BD4FB}"/>
            </c:ext>
          </c:extLst>
        </c:ser>
        <c:ser>
          <c:idx val="2"/>
          <c:order val="2"/>
          <c:tx>
            <c:v>UCL 33%</c:v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'M&amp;M Data'!$AE$25:$AE$84</c:f>
              <c:numCache>
                <c:formatCode>0.00</c:formatCode>
                <c:ptCount val="60"/>
                <c:pt idx="0">
                  <c:v>0.33218836524233741</c:v>
                </c:pt>
                <c:pt idx="1">
                  <c:v>0.33218836524233741</c:v>
                </c:pt>
                <c:pt idx="2">
                  <c:v>0.33218836524233741</c:v>
                </c:pt>
                <c:pt idx="3">
                  <c:v>0.33218836524233741</c:v>
                </c:pt>
                <c:pt idx="4">
                  <c:v>0.33218836524233741</c:v>
                </c:pt>
                <c:pt idx="5">
                  <c:v>0.33218836524233741</c:v>
                </c:pt>
                <c:pt idx="6">
                  <c:v>0.33218836524233741</c:v>
                </c:pt>
                <c:pt idx="7">
                  <c:v>0.33218836524233741</c:v>
                </c:pt>
                <c:pt idx="8">
                  <c:v>0.33218836524233741</c:v>
                </c:pt>
                <c:pt idx="9">
                  <c:v>0.33218836524233741</c:v>
                </c:pt>
                <c:pt idx="10">
                  <c:v>0.33218836524233741</c:v>
                </c:pt>
                <c:pt idx="11">
                  <c:v>0.33218836524233741</c:v>
                </c:pt>
                <c:pt idx="12">
                  <c:v>0.33218836524233741</c:v>
                </c:pt>
                <c:pt idx="13">
                  <c:v>0.33218836524233741</c:v>
                </c:pt>
                <c:pt idx="14">
                  <c:v>0.33218836524233741</c:v>
                </c:pt>
                <c:pt idx="15">
                  <c:v>0.33218836524233741</c:v>
                </c:pt>
                <c:pt idx="16">
                  <c:v>0.33218836524233741</c:v>
                </c:pt>
                <c:pt idx="17">
                  <c:v>0.33218836524233741</c:v>
                </c:pt>
                <c:pt idx="18">
                  <c:v>0.33218836524233741</c:v>
                </c:pt>
                <c:pt idx="19">
                  <c:v>0.33218836524233741</c:v>
                </c:pt>
                <c:pt idx="20">
                  <c:v>0.33218836524233741</c:v>
                </c:pt>
                <c:pt idx="21">
                  <c:v>0.33218836524233741</c:v>
                </c:pt>
                <c:pt idx="22">
                  <c:v>0.33218836524233741</c:v>
                </c:pt>
                <c:pt idx="23">
                  <c:v>0.33218836524233741</c:v>
                </c:pt>
                <c:pt idx="24">
                  <c:v>0.33218836524233741</c:v>
                </c:pt>
                <c:pt idx="25">
                  <c:v>0.33218836524233741</c:v>
                </c:pt>
                <c:pt idx="26">
                  <c:v>0.33218836524233741</c:v>
                </c:pt>
                <c:pt idx="27">
                  <c:v>0.33218836524233741</c:v>
                </c:pt>
                <c:pt idx="28">
                  <c:v>0.33218836524233741</c:v>
                </c:pt>
                <c:pt idx="29">
                  <c:v>0.33218836524233741</c:v>
                </c:pt>
                <c:pt idx="30">
                  <c:v>0.33218836524233741</c:v>
                </c:pt>
                <c:pt idx="31">
                  <c:v>0.33218836524233741</c:v>
                </c:pt>
                <c:pt idx="32">
                  <c:v>0.33218836524233741</c:v>
                </c:pt>
                <c:pt idx="33">
                  <c:v>0.33218836524233741</c:v>
                </c:pt>
                <c:pt idx="34">
                  <c:v>0.33218836524233741</c:v>
                </c:pt>
                <c:pt idx="35">
                  <c:v>0.33218836524233741</c:v>
                </c:pt>
                <c:pt idx="36">
                  <c:v>0.33218836524233741</c:v>
                </c:pt>
                <c:pt idx="37">
                  <c:v>0.33218836524233741</c:v>
                </c:pt>
                <c:pt idx="38">
                  <c:v>0.33218836524233741</c:v>
                </c:pt>
                <c:pt idx="39">
                  <c:v>0.33218836524233741</c:v>
                </c:pt>
                <c:pt idx="40">
                  <c:v>0.33218836524233741</c:v>
                </c:pt>
                <c:pt idx="41">
                  <c:v>0.33218836524233741</c:v>
                </c:pt>
                <c:pt idx="42">
                  <c:v>0.33218836524233741</c:v>
                </c:pt>
                <c:pt idx="43">
                  <c:v>0.33218836524233741</c:v>
                </c:pt>
                <c:pt idx="44">
                  <c:v>0.33218836524233741</c:v>
                </c:pt>
                <c:pt idx="45">
                  <c:v>0.33218836524233741</c:v>
                </c:pt>
                <c:pt idx="46">
                  <c:v>0.33218836524233741</c:v>
                </c:pt>
                <c:pt idx="47">
                  <c:v>0.33218836524233741</c:v>
                </c:pt>
                <c:pt idx="48">
                  <c:v>0.33218836524233741</c:v>
                </c:pt>
                <c:pt idx="49">
                  <c:v>0.33218836524233741</c:v>
                </c:pt>
                <c:pt idx="50">
                  <c:v>0.33218836524233741</c:v>
                </c:pt>
                <c:pt idx="51">
                  <c:v>0.33218836524233741</c:v>
                </c:pt>
                <c:pt idx="52">
                  <c:v>0.33218836524233741</c:v>
                </c:pt>
                <c:pt idx="53">
                  <c:v>0.33218836524233741</c:v>
                </c:pt>
                <c:pt idx="54">
                  <c:v>0.33218836524233741</c:v>
                </c:pt>
                <c:pt idx="55">
                  <c:v>0.33218836524233741</c:v>
                </c:pt>
                <c:pt idx="56">
                  <c:v>0.33218836524233741</c:v>
                </c:pt>
                <c:pt idx="57">
                  <c:v>0.33218836524233741</c:v>
                </c:pt>
                <c:pt idx="58">
                  <c:v>0.33218836524233741</c:v>
                </c:pt>
                <c:pt idx="59">
                  <c:v>0.33218836524233741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4A-451F-8E31-6BAE3D1BD4FB}"/>
            </c:ext>
          </c:extLst>
        </c:ser>
        <c:ser>
          <c:idx val="3"/>
          <c:order val="3"/>
          <c:tx>
            <c:v>Sample Percent</c:v>
          </c:tx>
          <c:spPr>
            <a:ln w="34925" cap="rnd">
              <a:solidFill>
                <a:srgbClr val="FFC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'M&amp;M Data'!$N$3:$N$62</c:f>
              <c:numCache>
                <c:formatCode>0%</c:formatCode>
                <c:ptCount val="60"/>
                <c:pt idx="0">
                  <c:v>0.2857142857142857</c:v>
                </c:pt>
                <c:pt idx="1">
                  <c:v>0.36363636363636365</c:v>
                </c:pt>
                <c:pt idx="2">
                  <c:v>0.28846153846153844</c:v>
                </c:pt>
                <c:pt idx="3">
                  <c:v>0.21428571428571427</c:v>
                </c:pt>
                <c:pt idx="4">
                  <c:v>0.18965517241379309</c:v>
                </c:pt>
                <c:pt idx="5">
                  <c:v>0.35087719298245612</c:v>
                </c:pt>
                <c:pt idx="6">
                  <c:v>0.43636363636363634</c:v>
                </c:pt>
                <c:pt idx="7">
                  <c:v>0.21428571428571427</c:v>
                </c:pt>
                <c:pt idx="8">
                  <c:v>0.20370370370370369</c:v>
                </c:pt>
                <c:pt idx="9">
                  <c:v>0.25454545454545452</c:v>
                </c:pt>
                <c:pt idx="10">
                  <c:v>0.35185185185185186</c:v>
                </c:pt>
                <c:pt idx="11">
                  <c:v>0.14285714285714285</c:v>
                </c:pt>
                <c:pt idx="12">
                  <c:v>0.10909090909090909</c:v>
                </c:pt>
                <c:pt idx="13">
                  <c:v>9.0909090909090912E-2</c:v>
                </c:pt>
                <c:pt idx="14">
                  <c:v>0.2</c:v>
                </c:pt>
                <c:pt idx="15">
                  <c:v>0.2</c:v>
                </c:pt>
                <c:pt idx="16">
                  <c:v>0.19230769230769232</c:v>
                </c:pt>
                <c:pt idx="17">
                  <c:v>0.13207547169811321</c:v>
                </c:pt>
                <c:pt idx="18">
                  <c:v>0.21052631578947367</c:v>
                </c:pt>
                <c:pt idx="19">
                  <c:v>7.2727272727272724E-2</c:v>
                </c:pt>
                <c:pt idx="20">
                  <c:v>7.1428571428571425E-2</c:v>
                </c:pt>
                <c:pt idx="21">
                  <c:v>0.10909090909090909</c:v>
                </c:pt>
                <c:pt idx="22">
                  <c:v>0.19642857142857142</c:v>
                </c:pt>
                <c:pt idx="23">
                  <c:v>0.12280701754385964</c:v>
                </c:pt>
                <c:pt idx="24">
                  <c:v>7.0175438596491224E-2</c:v>
                </c:pt>
                <c:pt idx="25">
                  <c:v>0.21428571428571427</c:v>
                </c:pt>
                <c:pt idx="26">
                  <c:v>0.25</c:v>
                </c:pt>
                <c:pt idx="27">
                  <c:v>0.16666666666666666</c:v>
                </c:pt>
                <c:pt idx="28">
                  <c:v>0.12280701754385964</c:v>
                </c:pt>
                <c:pt idx="29">
                  <c:v>0.17857142857142858</c:v>
                </c:pt>
                <c:pt idx="30">
                  <c:v>0.20370370370370369</c:v>
                </c:pt>
                <c:pt idx="31">
                  <c:v>0.16363636363636364</c:v>
                </c:pt>
                <c:pt idx="32">
                  <c:v>0.15789473684210525</c:v>
                </c:pt>
                <c:pt idx="33">
                  <c:v>0.16363636363636364</c:v>
                </c:pt>
                <c:pt idx="34">
                  <c:v>0.14545454545454545</c:v>
                </c:pt>
                <c:pt idx="35">
                  <c:v>0.125</c:v>
                </c:pt>
                <c:pt idx="36">
                  <c:v>9.0909090909090912E-2</c:v>
                </c:pt>
                <c:pt idx="37">
                  <c:v>0.12727272727272726</c:v>
                </c:pt>
                <c:pt idx="38">
                  <c:v>0.15789473684210525</c:v>
                </c:pt>
                <c:pt idx="39">
                  <c:v>0.14285714285714285</c:v>
                </c:pt>
                <c:pt idx="40">
                  <c:v>0.20370370370370369</c:v>
                </c:pt>
                <c:pt idx="41">
                  <c:v>0.12727272727272726</c:v>
                </c:pt>
                <c:pt idx="42">
                  <c:v>0.19298245614035087</c:v>
                </c:pt>
                <c:pt idx="43">
                  <c:v>0.1111111111111111</c:v>
                </c:pt>
                <c:pt idx="44">
                  <c:v>0.16981132075471697</c:v>
                </c:pt>
                <c:pt idx="45">
                  <c:v>0.18181818181818182</c:v>
                </c:pt>
                <c:pt idx="46">
                  <c:v>0.17543859649122806</c:v>
                </c:pt>
                <c:pt idx="47">
                  <c:v>0.18867924528301888</c:v>
                </c:pt>
                <c:pt idx="48">
                  <c:v>0.17543859649122806</c:v>
                </c:pt>
                <c:pt idx="49">
                  <c:v>0.13793103448275862</c:v>
                </c:pt>
                <c:pt idx="50">
                  <c:v>0.19642857142857142</c:v>
                </c:pt>
                <c:pt idx="51">
                  <c:v>0.27272727272727271</c:v>
                </c:pt>
                <c:pt idx="52">
                  <c:v>9.0909090909090912E-2</c:v>
                </c:pt>
                <c:pt idx="53">
                  <c:v>0.125</c:v>
                </c:pt>
                <c:pt idx="54">
                  <c:v>0.125</c:v>
                </c:pt>
                <c:pt idx="55">
                  <c:v>0.14814814814814814</c:v>
                </c:pt>
                <c:pt idx="56">
                  <c:v>9.0909090909090912E-2</c:v>
                </c:pt>
                <c:pt idx="57">
                  <c:v>0.16363636363636364</c:v>
                </c:pt>
                <c:pt idx="58">
                  <c:v>0.14285714285714285</c:v>
                </c:pt>
                <c:pt idx="59">
                  <c:v>0.18518518518518517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4A-451F-8E31-6BAE3D1BD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8021503"/>
        <c:axId val="618037311"/>
      </c:lineChart>
      <c:catAx>
        <c:axId val="618021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</a:t>
                </a:r>
                <a:r>
                  <a:rPr lang="en-US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037311"/>
        <c:crosses val="autoZero"/>
        <c:auto val="1"/>
        <c:lblAlgn val="ctr"/>
        <c:lblOffset val="100"/>
        <c:noMultiLvlLbl val="0"/>
      </c:catAx>
      <c:valAx>
        <c:axId val="61803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  <a:r>
                  <a:rPr lang="en-US" baseline="0"/>
                  <a:t> of Color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021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</a:t>
            </a:r>
            <a:r>
              <a:rPr lang="en-US" baseline="0"/>
              <a:t> Chart: Brown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LCL 0%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'M&amp;M Data'!$AF$25:$AF$84</c:f>
              <c:numCache>
                <c:formatCode>0.00</c:formatCode>
                <c:ptCount val="60"/>
                <c:pt idx="0">
                  <c:v>4.8988207055677413E-3</c:v>
                </c:pt>
                <c:pt idx="1">
                  <c:v>4.8988207055677413E-3</c:v>
                </c:pt>
                <c:pt idx="2">
                  <c:v>4.8988207055677413E-3</c:v>
                </c:pt>
                <c:pt idx="3">
                  <c:v>4.8988207055677413E-3</c:v>
                </c:pt>
                <c:pt idx="4">
                  <c:v>4.8988207055677413E-3</c:v>
                </c:pt>
                <c:pt idx="5">
                  <c:v>4.8988207055677413E-3</c:v>
                </c:pt>
                <c:pt idx="6">
                  <c:v>4.8988207055677413E-3</c:v>
                </c:pt>
                <c:pt idx="7">
                  <c:v>4.8988207055677413E-3</c:v>
                </c:pt>
                <c:pt idx="8">
                  <c:v>4.8988207055677413E-3</c:v>
                </c:pt>
                <c:pt idx="9">
                  <c:v>4.8988207055677413E-3</c:v>
                </c:pt>
                <c:pt idx="10">
                  <c:v>4.8988207055677413E-3</c:v>
                </c:pt>
                <c:pt idx="11">
                  <c:v>4.8988207055677413E-3</c:v>
                </c:pt>
                <c:pt idx="12">
                  <c:v>4.8988207055677413E-3</c:v>
                </c:pt>
                <c:pt idx="13">
                  <c:v>4.8988207055677413E-3</c:v>
                </c:pt>
                <c:pt idx="14">
                  <c:v>4.8988207055677413E-3</c:v>
                </c:pt>
                <c:pt idx="15">
                  <c:v>4.8988207055677413E-3</c:v>
                </c:pt>
                <c:pt idx="16">
                  <c:v>4.8988207055677413E-3</c:v>
                </c:pt>
                <c:pt idx="17">
                  <c:v>4.8988207055677413E-3</c:v>
                </c:pt>
                <c:pt idx="18">
                  <c:v>4.8988207055677413E-3</c:v>
                </c:pt>
                <c:pt idx="19">
                  <c:v>4.8988207055677413E-3</c:v>
                </c:pt>
                <c:pt idx="20">
                  <c:v>4.8988207055677413E-3</c:v>
                </c:pt>
                <c:pt idx="21">
                  <c:v>4.8988207055677413E-3</c:v>
                </c:pt>
                <c:pt idx="22">
                  <c:v>4.8988207055677413E-3</c:v>
                </c:pt>
                <c:pt idx="23">
                  <c:v>4.8988207055677413E-3</c:v>
                </c:pt>
                <c:pt idx="24">
                  <c:v>4.8988207055677413E-3</c:v>
                </c:pt>
                <c:pt idx="25">
                  <c:v>4.8988207055677413E-3</c:v>
                </c:pt>
                <c:pt idx="26">
                  <c:v>4.8988207055677413E-3</c:v>
                </c:pt>
                <c:pt idx="27">
                  <c:v>4.8988207055677413E-3</c:v>
                </c:pt>
                <c:pt idx="28">
                  <c:v>4.8988207055677413E-3</c:v>
                </c:pt>
                <c:pt idx="29">
                  <c:v>4.8988207055677413E-3</c:v>
                </c:pt>
                <c:pt idx="30">
                  <c:v>4.8988207055677413E-3</c:v>
                </c:pt>
                <c:pt idx="31">
                  <c:v>4.8988207055677413E-3</c:v>
                </c:pt>
                <c:pt idx="32">
                  <c:v>4.8988207055677413E-3</c:v>
                </c:pt>
                <c:pt idx="33">
                  <c:v>4.8988207055677413E-3</c:v>
                </c:pt>
                <c:pt idx="34">
                  <c:v>4.8988207055677413E-3</c:v>
                </c:pt>
                <c:pt idx="35">
                  <c:v>4.8988207055677413E-3</c:v>
                </c:pt>
                <c:pt idx="36">
                  <c:v>4.8988207055677413E-3</c:v>
                </c:pt>
                <c:pt idx="37">
                  <c:v>4.8988207055677413E-3</c:v>
                </c:pt>
                <c:pt idx="38">
                  <c:v>4.8988207055677413E-3</c:v>
                </c:pt>
                <c:pt idx="39">
                  <c:v>4.8988207055677413E-3</c:v>
                </c:pt>
                <c:pt idx="40">
                  <c:v>4.8988207055677413E-3</c:v>
                </c:pt>
                <c:pt idx="41">
                  <c:v>4.8988207055677413E-3</c:v>
                </c:pt>
                <c:pt idx="42">
                  <c:v>4.8988207055677413E-3</c:v>
                </c:pt>
                <c:pt idx="43">
                  <c:v>4.8988207055677413E-3</c:v>
                </c:pt>
                <c:pt idx="44">
                  <c:v>4.8988207055677413E-3</c:v>
                </c:pt>
                <c:pt idx="45">
                  <c:v>4.8988207055677413E-3</c:v>
                </c:pt>
                <c:pt idx="46">
                  <c:v>4.8988207055677413E-3</c:v>
                </c:pt>
                <c:pt idx="47">
                  <c:v>4.8988207055677413E-3</c:v>
                </c:pt>
                <c:pt idx="48">
                  <c:v>4.8988207055677413E-3</c:v>
                </c:pt>
                <c:pt idx="49">
                  <c:v>4.8988207055677413E-3</c:v>
                </c:pt>
                <c:pt idx="50">
                  <c:v>4.8988207055677413E-3</c:v>
                </c:pt>
                <c:pt idx="51">
                  <c:v>4.8988207055677413E-3</c:v>
                </c:pt>
                <c:pt idx="52">
                  <c:v>4.8988207055677413E-3</c:v>
                </c:pt>
                <c:pt idx="53">
                  <c:v>4.8988207055677413E-3</c:v>
                </c:pt>
                <c:pt idx="54">
                  <c:v>4.8988207055677413E-3</c:v>
                </c:pt>
                <c:pt idx="55">
                  <c:v>4.8988207055677413E-3</c:v>
                </c:pt>
                <c:pt idx="56">
                  <c:v>4.8988207055677413E-3</c:v>
                </c:pt>
                <c:pt idx="57">
                  <c:v>4.8988207055677413E-3</c:v>
                </c:pt>
                <c:pt idx="58">
                  <c:v>4.8988207055677413E-3</c:v>
                </c:pt>
                <c:pt idx="59">
                  <c:v>4.8988207055677413E-3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E4-47DD-BB66-C54E7EAB7A1C}"/>
            </c:ext>
          </c:extLst>
        </c:ser>
        <c:ser>
          <c:idx val="1"/>
          <c:order val="1"/>
          <c:tx>
            <c:v>CL 13%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'M&amp;M Data'!$AG$25:$AG$84</c:f>
              <c:numCache>
                <c:formatCode>0.00</c:formatCode>
                <c:ptCount val="60"/>
                <c:pt idx="0">
                  <c:v>0.13</c:v>
                </c:pt>
                <c:pt idx="1">
                  <c:v>0.13</c:v>
                </c:pt>
                <c:pt idx="2">
                  <c:v>0.13</c:v>
                </c:pt>
                <c:pt idx="3">
                  <c:v>0.13</c:v>
                </c:pt>
                <c:pt idx="4">
                  <c:v>0.13</c:v>
                </c:pt>
                <c:pt idx="5">
                  <c:v>0.13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0.13</c:v>
                </c:pt>
                <c:pt idx="10">
                  <c:v>0.13</c:v>
                </c:pt>
                <c:pt idx="11">
                  <c:v>0.13</c:v>
                </c:pt>
                <c:pt idx="12">
                  <c:v>0.13</c:v>
                </c:pt>
                <c:pt idx="13">
                  <c:v>0.13</c:v>
                </c:pt>
                <c:pt idx="14">
                  <c:v>0.13</c:v>
                </c:pt>
                <c:pt idx="15">
                  <c:v>0.13</c:v>
                </c:pt>
                <c:pt idx="16">
                  <c:v>0.13</c:v>
                </c:pt>
                <c:pt idx="17">
                  <c:v>0.13</c:v>
                </c:pt>
                <c:pt idx="18">
                  <c:v>0.13</c:v>
                </c:pt>
                <c:pt idx="19">
                  <c:v>0.13</c:v>
                </c:pt>
                <c:pt idx="20">
                  <c:v>0.13</c:v>
                </c:pt>
                <c:pt idx="21">
                  <c:v>0.13</c:v>
                </c:pt>
                <c:pt idx="22">
                  <c:v>0.13</c:v>
                </c:pt>
                <c:pt idx="23">
                  <c:v>0.13</c:v>
                </c:pt>
                <c:pt idx="24">
                  <c:v>0.13</c:v>
                </c:pt>
                <c:pt idx="25">
                  <c:v>0.13</c:v>
                </c:pt>
                <c:pt idx="26">
                  <c:v>0.13</c:v>
                </c:pt>
                <c:pt idx="27">
                  <c:v>0.13</c:v>
                </c:pt>
                <c:pt idx="28">
                  <c:v>0.13</c:v>
                </c:pt>
                <c:pt idx="29">
                  <c:v>0.13</c:v>
                </c:pt>
                <c:pt idx="30">
                  <c:v>0.13</c:v>
                </c:pt>
                <c:pt idx="31">
                  <c:v>0.13</c:v>
                </c:pt>
                <c:pt idx="32">
                  <c:v>0.13</c:v>
                </c:pt>
                <c:pt idx="33">
                  <c:v>0.13</c:v>
                </c:pt>
                <c:pt idx="34">
                  <c:v>0.13</c:v>
                </c:pt>
                <c:pt idx="35">
                  <c:v>0.13</c:v>
                </c:pt>
                <c:pt idx="36">
                  <c:v>0.13</c:v>
                </c:pt>
                <c:pt idx="37">
                  <c:v>0.13</c:v>
                </c:pt>
                <c:pt idx="38">
                  <c:v>0.13</c:v>
                </c:pt>
                <c:pt idx="39">
                  <c:v>0.13</c:v>
                </c:pt>
                <c:pt idx="40">
                  <c:v>0.13</c:v>
                </c:pt>
                <c:pt idx="41">
                  <c:v>0.13</c:v>
                </c:pt>
                <c:pt idx="42">
                  <c:v>0.13</c:v>
                </c:pt>
                <c:pt idx="43">
                  <c:v>0.13</c:v>
                </c:pt>
                <c:pt idx="44">
                  <c:v>0.13</c:v>
                </c:pt>
                <c:pt idx="45">
                  <c:v>0.13</c:v>
                </c:pt>
                <c:pt idx="46">
                  <c:v>0.13</c:v>
                </c:pt>
                <c:pt idx="47">
                  <c:v>0.13</c:v>
                </c:pt>
                <c:pt idx="48">
                  <c:v>0.13</c:v>
                </c:pt>
                <c:pt idx="49">
                  <c:v>0.13</c:v>
                </c:pt>
                <c:pt idx="50">
                  <c:v>0.13</c:v>
                </c:pt>
                <c:pt idx="51">
                  <c:v>0.13</c:v>
                </c:pt>
                <c:pt idx="52">
                  <c:v>0.13</c:v>
                </c:pt>
                <c:pt idx="53">
                  <c:v>0.13</c:v>
                </c:pt>
                <c:pt idx="54">
                  <c:v>0.13</c:v>
                </c:pt>
                <c:pt idx="55">
                  <c:v>0.13</c:v>
                </c:pt>
                <c:pt idx="56">
                  <c:v>0.13</c:v>
                </c:pt>
                <c:pt idx="57">
                  <c:v>0.13</c:v>
                </c:pt>
                <c:pt idx="58">
                  <c:v>0.13</c:v>
                </c:pt>
                <c:pt idx="59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E4-47DD-BB66-C54E7EAB7A1C}"/>
            </c:ext>
          </c:extLst>
        </c:ser>
        <c:ser>
          <c:idx val="2"/>
          <c:order val="2"/>
          <c:tx>
            <c:v>UCL 29%</c:v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'M&amp;M Data'!$AH$25:$AH$84</c:f>
              <c:numCache>
                <c:formatCode>0.00</c:formatCode>
                <c:ptCount val="60"/>
                <c:pt idx="0">
                  <c:v>0.29139747559072854</c:v>
                </c:pt>
                <c:pt idx="1">
                  <c:v>0.29139747559072854</c:v>
                </c:pt>
                <c:pt idx="2">
                  <c:v>0.29139747559072854</c:v>
                </c:pt>
                <c:pt idx="3">
                  <c:v>0.29139747559072854</c:v>
                </c:pt>
                <c:pt idx="4">
                  <c:v>0.29139747559072854</c:v>
                </c:pt>
                <c:pt idx="5">
                  <c:v>0.29139747559072854</c:v>
                </c:pt>
                <c:pt idx="6">
                  <c:v>0.29139747559072854</c:v>
                </c:pt>
                <c:pt idx="7">
                  <c:v>0.29139747559072854</c:v>
                </c:pt>
                <c:pt idx="8">
                  <c:v>0.29139747559072854</c:v>
                </c:pt>
                <c:pt idx="9">
                  <c:v>0.29139747559072854</c:v>
                </c:pt>
                <c:pt idx="10">
                  <c:v>0.29139747559072854</c:v>
                </c:pt>
                <c:pt idx="11">
                  <c:v>0.29139747559072854</c:v>
                </c:pt>
                <c:pt idx="12">
                  <c:v>0.29139747559072854</c:v>
                </c:pt>
                <c:pt idx="13">
                  <c:v>0.29139747559072854</c:v>
                </c:pt>
                <c:pt idx="14">
                  <c:v>0.29139747559072854</c:v>
                </c:pt>
                <c:pt idx="15">
                  <c:v>0.29139747559072854</c:v>
                </c:pt>
                <c:pt idx="16">
                  <c:v>0.29139747559072854</c:v>
                </c:pt>
                <c:pt idx="17">
                  <c:v>0.29139747559072854</c:v>
                </c:pt>
                <c:pt idx="18">
                  <c:v>0.29139747559072854</c:v>
                </c:pt>
                <c:pt idx="19">
                  <c:v>0.29139747559072854</c:v>
                </c:pt>
                <c:pt idx="20">
                  <c:v>0.29139747559072854</c:v>
                </c:pt>
                <c:pt idx="21">
                  <c:v>0.29139747559072854</c:v>
                </c:pt>
                <c:pt idx="22">
                  <c:v>0.29139747559072854</c:v>
                </c:pt>
                <c:pt idx="23">
                  <c:v>0.29139747559072854</c:v>
                </c:pt>
                <c:pt idx="24">
                  <c:v>0.29139747559072854</c:v>
                </c:pt>
                <c:pt idx="25">
                  <c:v>0.29139747559072854</c:v>
                </c:pt>
                <c:pt idx="26">
                  <c:v>0.29139747559072854</c:v>
                </c:pt>
                <c:pt idx="27">
                  <c:v>0.29139747559072854</c:v>
                </c:pt>
                <c:pt idx="28">
                  <c:v>0.29139747559072854</c:v>
                </c:pt>
                <c:pt idx="29">
                  <c:v>0.29139747559072854</c:v>
                </c:pt>
                <c:pt idx="30">
                  <c:v>0.29139747559072854</c:v>
                </c:pt>
                <c:pt idx="31">
                  <c:v>0.29139747559072854</c:v>
                </c:pt>
                <c:pt idx="32">
                  <c:v>0.29139747559072854</c:v>
                </c:pt>
                <c:pt idx="33">
                  <c:v>0.29139747559072854</c:v>
                </c:pt>
                <c:pt idx="34">
                  <c:v>0.29139747559072854</c:v>
                </c:pt>
                <c:pt idx="35">
                  <c:v>0.29139747559072854</c:v>
                </c:pt>
                <c:pt idx="36">
                  <c:v>0.29139747559072854</c:v>
                </c:pt>
                <c:pt idx="37">
                  <c:v>0.29139747559072854</c:v>
                </c:pt>
                <c:pt idx="38">
                  <c:v>0.29139747559072854</c:v>
                </c:pt>
                <c:pt idx="39">
                  <c:v>0.29139747559072854</c:v>
                </c:pt>
                <c:pt idx="40">
                  <c:v>0.29139747559072854</c:v>
                </c:pt>
                <c:pt idx="41">
                  <c:v>0.29139747559072854</c:v>
                </c:pt>
                <c:pt idx="42">
                  <c:v>0.29139747559072854</c:v>
                </c:pt>
                <c:pt idx="43">
                  <c:v>0.29139747559072854</c:v>
                </c:pt>
                <c:pt idx="44">
                  <c:v>0.29139747559072854</c:v>
                </c:pt>
                <c:pt idx="45">
                  <c:v>0.29139747559072854</c:v>
                </c:pt>
                <c:pt idx="46">
                  <c:v>0.29139747559072854</c:v>
                </c:pt>
                <c:pt idx="47">
                  <c:v>0.29139747559072854</c:v>
                </c:pt>
                <c:pt idx="48">
                  <c:v>0.29139747559072854</c:v>
                </c:pt>
                <c:pt idx="49">
                  <c:v>0.29139747559072854</c:v>
                </c:pt>
                <c:pt idx="50">
                  <c:v>0.29139747559072854</c:v>
                </c:pt>
                <c:pt idx="51">
                  <c:v>0.29139747559072854</c:v>
                </c:pt>
                <c:pt idx="52">
                  <c:v>0.29139747559072854</c:v>
                </c:pt>
                <c:pt idx="53">
                  <c:v>0.29139747559072854</c:v>
                </c:pt>
                <c:pt idx="54">
                  <c:v>0.29139747559072854</c:v>
                </c:pt>
                <c:pt idx="55">
                  <c:v>0.29139747559072854</c:v>
                </c:pt>
                <c:pt idx="56">
                  <c:v>0.29139747559072854</c:v>
                </c:pt>
                <c:pt idx="57">
                  <c:v>0.29139747559072854</c:v>
                </c:pt>
                <c:pt idx="58">
                  <c:v>0.29139747559072854</c:v>
                </c:pt>
                <c:pt idx="59">
                  <c:v>0.29139747559072854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E4-47DD-BB66-C54E7EAB7A1C}"/>
            </c:ext>
          </c:extLst>
        </c:ser>
        <c:ser>
          <c:idx val="3"/>
          <c:order val="3"/>
          <c:tx>
            <c:v>Sample Percent</c:v>
          </c:tx>
          <c:spPr>
            <a:ln w="34925" cap="rnd">
              <a:solidFill>
                <a:srgbClr val="7B421F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'M&amp;M Data'!$O$3:$O$62</c:f>
              <c:numCache>
                <c:formatCode>0%</c:formatCode>
                <c:ptCount val="60"/>
                <c:pt idx="0">
                  <c:v>0.16071428571428573</c:v>
                </c:pt>
                <c:pt idx="1">
                  <c:v>0.12727272727272726</c:v>
                </c:pt>
                <c:pt idx="2">
                  <c:v>0.23076923076923078</c:v>
                </c:pt>
                <c:pt idx="3">
                  <c:v>0.25</c:v>
                </c:pt>
                <c:pt idx="4">
                  <c:v>0.17241379310344829</c:v>
                </c:pt>
                <c:pt idx="5">
                  <c:v>0.10526315789473684</c:v>
                </c:pt>
                <c:pt idx="6">
                  <c:v>0.16363636363636364</c:v>
                </c:pt>
                <c:pt idx="7">
                  <c:v>0.16071428571428573</c:v>
                </c:pt>
                <c:pt idx="8">
                  <c:v>0.20370370370370369</c:v>
                </c:pt>
                <c:pt idx="9">
                  <c:v>0.32727272727272727</c:v>
                </c:pt>
                <c:pt idx="10">
                  <c:v>0.12962962962962962</c:v>
                </c:pt>
                <c:pt idx="11">
                  <c:v>0.16071428571428573</c:v>
                </c:pt>
                <c:pt idx="12">
                  <c:v>0.10909090909090909</c:v>
                </c:pt>
                <c:pt idx="13">
                  <c:v>9.0909090909090912E-2</c:v>
                </c:pt>
                <c:pt idx="14">
                  <c:v>7.2727272727272724E-2</c:v>
                </c:pt>
                <c:pt idx="15">
                  <c:v>0.21818181818181817</c:v>
                </c:pt>
                <c:pt idx="16">
                  <c:v>0.21153846153846154</c:v>
                </c:pt>
                <c:pt idx="17">
                  <c:v>9.4339622641509441E-2</c:v>
                </c:pt>
                <c:pt idx="18">
                  <c:v>5.2631578947368418E-2</c:v>
                </c:pt>
                <c:pt idx="19">
                  <c:v>0.18181818181818182</c:v>
                </c:pt>
                <c:pt idx="20">
                  <c:v>0.16071428571428573</c:v>
                </c:pt>
                <c:pt idx="21">
                  <c:v>0.12727272727272726</c:v>
                </c:pt>
                <c:pt idx="22">
                  <c:v>0.16071428571428573</c:v>
                </c:pt>
                <c:pt idx="23">
                  <c:v>0.15789473684210525</c:v>
                </c:pt>
                <c:pt idx="24">
                  <c:v>0.12280701754385964</c:v>
                </c:pt>
                <c:pt idx="25">
                  <c:v>0.14285714285714285</c:v>
                </c:pt>
                <c:pt idx="26">
                  <c:v>8.9285714285714288E-2</c:v>
                </c:pt>
                <c:pt idx="27">
                  <c:v>0.18518518518518517</c:v>
                </c:pt>
                <c:pt idx="28">
                  <c:v>0.14035087719298245</c:v>
                </c:pt>
                <c:pt idx="29">
                  <c:v>0.16071428571428573</c:v>
                </c:pt>
                <c:pt idx="30">
                  <c:v>0.12962962962962962</c:v>
                </c:pt>
                <c:pt idx="31">
                  <c:v>0.16363636363636364</c:v>
                </c:pt>
                <c:pt idx="32">
                  <c:v>0.14035087719298245</c:v>
                </c:pt>
                <c:pt idx="33">
                  <c:v>0.10909090909090909</c:v>
                </c:pt>
                <c:pt idx="34">
                  <c:v>0.12727272727272726</c:v>
                </c:pt>
                <c:pt idx="35">
                  <c:v>0.17857142857142858</c:v>
                </c:pt>
                <c:pt idx="36">
                  <c:v>0.14545454545454545</c:v>
                </c:pt>
                <c:pt idx="37">
                  <c:v>0.2</c:v>
                </c:pt>
                <c:pt idx="38">
                  <c:v>0.14035087719298245</c:v>
                </c:pt>
                <c:pt idx="39">
                  <c:v>0.14285714285714285</c:v>
                </c:pt>
                <c:pt idx="40">
                  <c:v>7.407407407407407E-2</c:v>
                </c:pt>
                <c:pt idx="41">
                  <c:v>0.14545454545454545</c:v>
                </c:pt>
                <c:pt idx="42">
                  <c:v>0.14035087719298245</c:v>
                </c:pt>
                <c:pt idx="43">
                  <c:v>0.1111111111111111</c:v>
                </c:pt>
                <c:pt idx="44">
                  <c:v>0.13207547169811321</c:v>
                </c:pt>
                <c:pt idx="45">
                  <c:v>0.18181818181818182</c:v>
                </c:pt>
                <c:pt idx="46">
                  <c:v>0.17543859649122806</c:v>
                </c:pt>
                <c:pt idx="47">
                  <c:v>0.13207547169811321</c:v>
                </c:pt>
                <c:pt idx="48">
                  <c:v>0.14035087719298245</c:v>
                </c:pt>
                <c:pt idx="49">
                  <c:v>0.17241379310344829</c:v>
                </c:pt>
                <c:pt idx="50">
                  <c:v>0.125</c:v>
                </c:pt>
                <c:pt idx="51">
                  <c:v>0.12727272727272726</c:v>
                </c:pt>
                <c:pt idx="52">
                  <c:v>0.21818181818181817</c:v>
                </c:pt>
                <c:pt idx="53">
                  <c:v>0.10714285714285714</c:v>
                </c:pt>
                <c:pt idx="54">
                  <c:v>0.16071428571428573</c:v>
                </c:pt>
                <c:pt idx="55">
                  <c:v>5.5555555555555552E-2</c:v>
                </c:pt>
                <c:pt idx="56">
                  <c:v>0.12727272727272726</c:v>
                </c:pt>
                <c:pt idx="57">
                  <c:v>0.12727272727272726</c:v>
                </c:pt>
                <c:pt idx="58">
                  <c:v>0.17857142857142858</c:v>
                </c:pt>
                <c:pt idx="59">
                  <c:v>0.1111111111111111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E4-47DD-BB66-C54E7EAB7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373167"/>
        <c:axId val="611373999"/>
      </c:lineChart>
      <c:catAx>
        <c:axId val="611373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</a:t>
                </a:r>
                <a:r>
                  <a:rPr lang="en-US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373999"/>
        <c:crosses val="autoZero"/>
        <c:auto val="1"/>
        <c:lblAlgn val="ctr"/>
        <c:lblOffset val="100"/>
        <c:noMultiLvlLbl val="0"/>
      </c:catAx>
      <c:valAx>
        <c:axId val="61137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  <a:r>
                  <a:rPr lang="en-US" baseline="0"/>
                  <a:t> of Color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37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604836</xdr:colOff>
      <xdr:row>0</xdr:row>
      <xdr:rowOff>176212</xdr:rowOff>
    </xdr:from>
    <xdr:to>
      <xdr:col>21</xdr:col>
      <xdr:colOff>609599</xdr:colOff>
      <xdr:row>19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61E91F-FAB2-4D02-ABEC-4EDA06664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604836</xdr:colOff>
      <xdr:row>21</xdr:row>
      <xdr:rowOff>14286</xdr:rowOff>
    </xdr:from>
    <xdr:to>
      <xdr:col>21</xdr:col>
      <xdr:colOff>609599</xdr:colOff>
      <xdr:row>39</xdr:row>
      <xdr:rowOff>190499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0300424-8774-4478-B7E0-5F45C98DA2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1</xdr:row>
      <xdr:rowOff>4082</xdr:rowOff>
    </xdr:from>
    <xdr:to>
      <xdr:col>14</xdr:col>
      <xdr:colOff>590549</xdr:colOff>
      <xdr:row>26</xdr:row>
      <xdr:rowOff>171450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76809A29-BEA8-42CA-988A-55C4AC5830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2720</xdr:colOff>
      <xdr:row>1</xdr:row>
      <xdr:rowOff>8163</xdr:rowOff>
    </xdr:from>
    <xdr:to>
      <xdr:col>14</xdr:col>
      <xdr:colOff>609599</xdr:colOff>
      <xdr:row>27</xdr:row>
      <xdr:rowOff>9524</xdr:rowOff>
    </xdr:to>
    <xdr:graphicFrame macro="">
      <xdr:nvGraphicFramePr>
        <xdr:cNvPr id="3" name="Chart 8">
          <a:extLst>
            <a:ext uri="{FF2B5EF4-FFF2-40B4-BE49-F238E27FC236}">
              <a16:creationId xmlns:a16="http://schemas.microsoft.com/office/drawing/2014/main" id="{05CFA14D-A495-4C45-96A8-D7D5425385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1</xdr:row>
      <xdr:rowOff>1361</xdr:rowOff>
    </xdr:from>
    <xdr:to>
      <xdr:col>15</xdr:col>
      <xdr:colOff>9524</xdr:colOff>
      <xdr:row>27</xdr:row>
      <xdr:rowOff>9525</xdr:rowOff>
    </xdr:to>
    <xdr:graphicFrame macro="">
      <xdr:nvGraphicFramePr>
        <xdr:cNvPr id="3" name="Chart 9">
          <a:extLst>
            <a:ext uri="{FF2B5EF4-FFF2-40B4-BE49-F238E27FC236}">
              <a16:creationId xmlns:a16="http://schemas.microsoft.com/office/drawing/2014/main" id="{19385630-1DD0-413A-98B9-5084D4693F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6804</xdr:colOff>
      <xdr:row>1</xdr:row>
      <xdr:rowOff>13607</xdr:rowOff>
    </xdr:from>
    <xdr:to>
      <xdr:col>15</xdr:col>
      <xdr:colOff>0</xdr:colOff>
      <xdr:row>27</xdr:row>
      <xdr:rowOff>9525</xdr:rowOff>
    </xdr:to>
    <xdr:graphicFrame macro="">
      <xdr:nvGraphicFramePr>
        <xdr:cNvPr id="3" name="Chart 10">
          <a:extLst>
            <a:ext uri="{FF2B5EF4-FFF2-40B4-BE49-F238E27FC236}">
              <a16:creationId xmlns:a16="http://schemas.microsoft.com/office/drawing/2014/main" id="{ED4AB37B-B0A5-4457-A183-8BD369F19B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8846</xdr:colOff>
      <xdr:row>1</xdr:row>
      <xdr:rowOff>7825</xdr:rowOff>
    </xdr:from>
    <xdr:to>
      <xdr:col>15</xdr:col>
      <xdr:colOff>0</xdr:colOff>
      <xdr:row>27</xdr:row>
      <xdr:rowOff>9525</xdr:rowOff>
    </xdr:to>
    <xdr:graphicFrame macro="">
      <xdr:nvGraphicFramePr>
        <xdr:cNvPr id="3" name="Chart 11">
          <a:extLst>
            <a:ext uri="{FF2B5EF4-FFF2-40B4-BE49-F238E27FC236}">
              <a16:creationId xmlns:a16="http://schemas.microsoft.com/office/drawing/2014/main" id="{5F8159DD-5F4B-4508-B4CB-92C3387F87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0</xdr:row>
      <xdr:rowOff>180974</xdr:rowOff>
    </xdr:from>
    <xdr:to>
      <xdr:col>15</xdr:col>
      <xdr:colOff>9525</xdr:colOff>
      <xdr:row>26</xdr:row>
      <xdr:rowOff>190499</xdr:rowOff>
    </xdr:to>
    <xdr:graphicFrame macro="">
      <xdr:nvGraphicFramePr>
        <xdr:cNvPr id="3" name="Chart 12">
          <a:extLst>
            <a:ext uri="{FF2B5EF4-FFF2-40B4-BE49-F238E27FC236}">
              <a16:creationId xmlns:a16="http://schemas.microsoft.com/office/drawing/2014/main" id="{3F7375FB-5325-42FD-A47F-06564A6B8C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DC90DF-6ABB-413E-B8CA-86381D9E70A7}" name="Table2" displayName="Table2" ref="B2:O63" totalsRowCount="1">
  <autoFilter ref="B2:O62" xr:uid="{A8DC90DF-6ABB-413E-B8CA-86381D9E70A7}"/>
  <tableColumns count="14">
    <tableColumn id="1" xr3:uid="{B33F192E-77D3-4DE2-B132-D2C88C566073}" name="M&amp;M Bag" totalsRowFunction="custom">
      <totalsRowFormula>MAX(Table2[M&amp;M Bag])</totalsRowFormula>
    </tableColumn>
    <tableColumn id="2" xr3:uid="{AE366BD5-8129-4F89-A512-C511C8D48E29}" name="Red" totalsRowFunction="sum"/>
    <tableColumn id="3" xr3:uid="{074DC6E7-6C18-4A66-8B80-CF785280572D}" name="Blue" totalsRowFunction="custom">
      <totalsRowFormula>SUM(Table2[Blue])</totalsRowFormula>
    </tableColumn>
    <tableColumn id="4" xr3:uid="{DC7843A4-E4E0-4694-B269-BCD01DA86F06}" name="Green" totalsRowFunction="custom">
      <totalsRowFormula>SUM(Table2[Green])</totalsRowFormula>
    </tableColumn>
    <tableColumn id="5" xr3:uid="{F42B1493-B395-4981-B807-5A792A829332}" name="Yellow" totalsRowFunction="custom">
      <totalsRowFormula>SUM(Table2[Yellow])</totalsRowFormula>
    </tableColumn>
    <tableColumn id="6" xr3:uid="{523C1D54-20F9-41D3-9483-72D02C6F5B44}" name="Orange" totalsRowFunction="sum"/>
    <tableColumn id="7" xr3:uid="{F3C48E47-1C3B-4581-A3F1-E9E38BB7D21E}" name="Brown" totalsRowFunction="sum"/>
    <tableColumn id="8" xr3:uid="{081EEB30-ABE0-4F76-95EE-80AFC0B3CD94}" name="Total" totalsRowFunction="sum"/>
    <tableColumn id="9" xr3:uid="{DB828FC7-37CC-4B1A-A651-EC045457C18E}" name="Red %" totalsRowDxfId="6" dataCellStyle="Percent" totalsRowCellStyle="Percent">
      <calculatedColumnFormula>Table2[[#This Row],[Red]]/Table2[[#This Row],[Total]]</calculatedColumnFormula>
    </tableColumn>
    <tableColumn id="10" xr3:uid="{9F291A1A-CEBF-4937-8060-A2985B3341D6}" name="Blue%" totalsRowDxfId="5" dataCellStyle="Percent" totalsRowCellStyle="Percent">
      <calculatedColumnFormula>Table2[[#This Row],[Blue]]/Table2[[#This Row],[Total]]</calculatedColumnFormula>
    </tableColumn>
    <tableColumn id="11" xr3:uid="{0DC45544-D584-4079-8334-750258F633AC}" name="Green %" totalsRowDxfId="4" dataCellStyle="Percent" totalsRowCellStyle="Percent">
      <calculatedColumnFormula>Table2[[#This Row],[Green]]/Table2[[#This Row],[Total]]</calculatedColumnFormula>
    </tableColumn>
    <tableColumn id="12" xr3:uid="{A627811E-57D7-41EB-A57A-82461FD014B3}" name="Yellow %" totalsRowDxfId="3" dataCellStyle="Percent" totalsRowCellStyle="Percent">
      <calculatedColumnFormula>Table2[[#This Row],[Yellow]]/Table2[[#This Row],[Total]]</calculatedColumnFormula>
    </tableColumn>
    <tableColumn id="13" xr3:uid="{EA56144A-BA6B-400E-80BF-DD0247B6F85A}" name="Orange %" totalsRowDxfId="2" dataCellStyle="Percent" totalsRowCellStyle="Percent">
      <calculatedColumnFormula>Table2[[#This Row],[Orange]]/Table2[[#This Row],[Total]]</calculatedColumnFormula>
    </tableColumn>
    <tableColumn id="14" xr3:uid="{F8562175-56E6-4EC9-B005-AE82212B411D}" name="Brown %" totalsRowDxfId="1" dataCellStyle="Percent" totalsRowCellStyle="Percent">
      <calculatedColumnFormula>Table2[[#This Row],[Brown]]/Table2[[#This Row],[Total]]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4401302-43F4-40D0-88FF-1AFAF99BEE0F}" name="Table7" displayName="Table7" ref="R3:S9" totalsRowShown="0">
  <autoFilter ref="R3:S9" xr:uid="{D4401302-43F4-40D0-88FF-1AFAF99BEE0F}"/>
  <tableColumns count="2">
    <tableColumn id="1" xr3:uid="{AA1D559E-F755-45D1-A265-B131052AA1D8}" name="Color"/>
    <tableColumn id="2" xr3:uid="{05FACCBA-6F6C-4D48-87ED-612C561A4016}" name="Ratio" dataDxfId="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E84626-FE75-430A-8BC0-0757402B5A18}" name="Table1" displayName="Table1" ref="A2:I18" totalsRowCount="1">
  <autoFilter ref="A2:I17" xr:uid="{C9CD10D5-BE1C-4EF0-99BA-EBAB837A0F18}"/>
  <tableColumns count="9">
    <tableColumn id="9" xr3:uid="{E2E72FD9-0663-4A10-9B9C-0B8D8DEC7425}" name="Group"/>
    <tableColumn id="1" xr3:uid="{FDE0030B-B6C0-42D9-AB32-C14C8BE96BF6}" name="#1"/>
    <tableColumn id="2" xr3:uid="{960D1DE7-D05D-44A5-B08F-3C6F975381E4}" name="#2"/>
    <tableColumn id="3" xr3:uid="{7A0C7391-0907-426E-B5B8-EFD11BE10DD2}" name="#3"/>
    <tableColumn id="4" xr3:uid="{C8F09471-403B-45B1-9FCF-03E3D40B915A}" name="#4"/>
    <tableColumn id="5" xr3:uid="{6B251A51-A80C-4F49-AA0F-B53BE87AF99A}" name="Average"/>
    <tableColumn id="6" xr3:uid="{DD2B8264-35CE-47BD-8D4A-38CB022DE2D8}" name="Range"/>
    <tableColumn id="7" xr3:uid="{9AB9E5F6-382E-4E26-86BF-9A62BA5A4AF5}" name="Average Weight" totalsRowFunction="custom">
      <totalsRowFormula>AVERAGE(Table1[Average Weight])</totalsRowFormula>
    </tableColumn>
    <tableColumn id="8" xr3:uid="{59AB186F-B6BC-46E9-AE51-CAF25A6B6837}" name="Average Range" totalsRowFunction="custom">
      <totalsRowFormula>AVERAGE(Table1[Average Range])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pcforexcel.com/knowledge/attribute-control-charts/p-control-charts" TargetMode="Externa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11C51-7B5C-48A4-B484-19F059CED8B7}">
  <dimension ref="B2:AH85"/>
  <sheetViews>
    <sheetView tabSelected="1" zoomScaleNormal="100" workbookViewId="0">
      <selection activeCell="Q9" sqref="Q9"/>
    </sheetView>
  </sheetViews>
  <sheetFormatPr defaultRowHeight="15" x14ac:dyDescent="0.25"/>
  <cols>
    <col min="2" max="2" width="11.5703125" customWidth="1"/>
    <col min="5" max="5" width="10" customWidth="1"/>
    <col min="6" max="6" width="10.5703125" customWidth="1"/>
    <col min="7" max="7" width="11" customWidth="1"/>
    <col min="8" max="8" width="10.28515625" customWidth="1"/>
    <col min="17" max="17" width="11.28515625" customWidth="1"/>
    <col min="18" max="19" width="9.85546875" customWidth="1"/>
  </cols>
  <sheetData>
    <row r="2" spans="2:23" x14ac:dyDescent="0.25">
      <c r="B2" t="s">
        <v>28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47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U2" s="9" t="s">
        <v>41</v>
      </c>
    </row>
    <row r="3" spans="2:23" x14ac:dyDescent="0.25">
      <c r="B3">
        <v>1</v>
      </c>
      <c r="C3">
        <v>5</v>
      </c>
      <c r="D3">
        <v>9</v>
      </c>
      <c r="E3">
        <v>10</v>
      </c>
      <c r="F3">
        <v>7</v>
      </c>
      <c r="G3">
        <v>16</v>
      </c>
      <c r="H3">
        <v>9</v>
      </c>
      <c r="I3">
        <v>56</v>
      </c>
      <c r="J3" s="4">
        <f>Table2[[#This Row],[Red]]/Table2[[#This Row],[Total]]</f>
        <v>8.9285714285714288E-2</v>
      </c>
      <c r="K3" s="4">
        <f>Table2[[#This Row],[Blue]]/Table2[[#This Row],[Total]]</f>
        <v>0.16071428571428573</v>
      </c>
      <c r="L3" s="4">
        <f>Table2[[#This Row],[Green]]/Table2[[#This Row],[Total]]</f>
        <v>0.17857142857142858</v>
      </c>
      <c r="M3" s="4">
        <f>Table2[[#This Row],[Yellow]]/Table2[[#This Row],[Total]]</f>
        <v>0.125</v>
      </c>
      <c r="N3" s="4">
        <f>Table2[[#This Row],[Orange]]/Table2[[#This Row],[Total]]</f>
        <v>0.2857142857142857</v>
      </c>
      <c r="O3" s="4">
        <f>Table2[[#This Row],[Brown]]/Table2[[#This Row],[Total]]</f>
        <v>0.16071428571428573</v>
      </c>
      <c r="R3" t="s">
        <v>45</v>
      </c>
      <c r="S3" t="s">
        <v>46</v>
      </c>
    </row>
    <row r="4" spans="2:23" x14ac:dyDescent="0.25">
      <c r="B4">
        <v>2</v>
      </c>
      <c r="C4">
        <v>6</v>
      </c>
      <c r="D4">
        <v>11</v>
      </c>
      <c r="E4">
        <v>7</v>
      </c>
      <c r="F4">
        <v>4</v>
      </c>
      <c r="G4">
        <v>20</v>
      </c>
      <c r="H4">
        <v>7</v>
      </c>
      <c r="I4">
        <v>55</v>
      </c>
      <c r="J4" s="4">
        <f>Table2[[#This Row],[Red]]/Table2[[#This Row],[Total]]</f>
        <v>0.10909090909090909</v>
      </c>
      <c r="K4" s="4">
        <f>Table2[[#This Row],[Blue]]/Table2[[#This Row],[Total]]</f>
        <v>0.2</v>
      </c>
      <c r="L4" s="4">
        <f>Table2[[#This Row],[Green]]/Table2[[#This Row],[Total]]</f>
        <v>0.12727272727272726</v>
      </c>
      <c r="M4" s="4">
        <f>Table2[[#This Row],[Yellow]]/Table2[[#This Row],[Total]]</f>
        <v>7.2727272727272724E-2</v>
      </c>
      <c r="N4" s="4">
        <f>Table2[[#This Row],[Orange]]/Table2[[#This Row],[Total]]</f>
        <v>0.36363636363636365</v>
      </c>
      <c r="O4" s="4">
        <f>Table2[[#This Row],[Brown]]/Table2[[#This Row],[Total]]</f>
        <v>0.12727272727272726</v>
      </c>
      <c r="R4" t="s">
        <v>35</v>
      </c>
      <c r="S4" s="5">
        <v>0.13</v>
      </c>
    </row>
    <row r="5" spans="2:23" x14ac:dyDescent="0.25">
      <c r="B5">
        <v>3</v>
      </c>
      <c r="C5">
        <v>5</v>
      </c>
      <c r="D5">
        <v>6</v>
      </c>
      <c r="E5">
        <v>3</v>
      </c>
      <c r="F5">
        <v>11</v>
      </c>
      <c r="G5">
        <v>15</v>
      </c>
      <c r="H5">
        <v>12</v>
      </c>
      <c r="I5">
        <v>52</v>
      </c>
      <c r="J5" s="4">
        <f>Table2[[#This Row],[Red]]/Table2[[#This Row],[Total]]</f>
        <v>9.6153846153846159E-2</v>
      </c>
      <c r="K5" s="4">
        <f>Table2[[#This Row],[Blue]]/Table2[[#This Row],[Total]]</f>
        <v>0.11538461538461539</v>
      </c>
      <c r="L5" s="4">
        <f>Table2[[#This Row],[Green]]/Table2[[#This Row],[Total]]</f>
        <v>5.7692307692307696E-2</v>
      </c>
      <c r="M5" s="4">
        <f>Table2[[#This Row],[Yellow]]/Table2[[#This Row],[Total]]</f>
        <v>0.21153846153846154</v>
      </c>
      <c r="N5" s="4">
        <f>Table2[[#This Row],[Orange]]/Table2[[#This Row],[Total]]</f>
        <v>0.28846153846153844</v>
      </c>
      <c r="O5" s="4">
        <f>Table2[[#This Row],[Brown]]/Table2[[#This Row],[Total]]</f>
        <v>0.23076923076923078</v>
      </c>
      <c r="R5" t="s">
        <v>36</v>
      </c>
      <c r="S5" s="5">
        <v>0.24</v>
      </c>
    </row>
    <row r="6" spans="2:23" x14ac:dyDescent="0.25">
      <c r="B6">
        <v>4</v>
      </c>
      <c r="C6">
        <v>7</v>
      </c>
      <c r="D6">
        <v>8</v>
      </c>
      <c r="E6">
        <v>8</v>
      </c>
      <c r="F6">
        <v>7</v>
      </c>
      <c r="G6">
        <v>12</v>
      </c>
      <c r="H6">
        <v>14</v>
      </c>
      <c r="I6">
        <v>56</v>
      </c>
      <c r="J6" s="4">
        <f>Table2[[#This Row],[Red]]/Table2[[#This Row],[Total]]</f>
        <v>0.125</v>
      </c>
      <c r="K6" s="4">
        <f>Table2[[#This Row],[Blue]]/Table2[[#This Row],[Total]]</f>
        <v>0.14285714285714285</v>
      </c>
      <c r="L6" s="4">
        <f>Table2[[#This Row],[Green]]/Table2[[#This Row],[Total]]</f>
        <v>0.14285714285714285</v>
      </c>
      <c r="M6" s="4">
        <f>Table2[[#This Row],[Yellow]]/Table2[[#This Row],[Total]]</f>
        <v>0.125</v>
      </c>
      <c r="N6" s="4">
        <f>Table2[[#This Row],[Orange]]/Table2[[#This Row],[Total]]</f>
        <v>0.21428571428571427</v>
      </c>
      <c r="O6" s="4">
        <f>Table2[[#This Row],[Brown]]/Table2[[#This Row],[Total]]</f>
        <v>0.25</v>
      </c>
      <c r="R6" t="s">
        <v>37</v>
      </c>
      <c r="S6" s="5">
        <v>0.16</v>
      </c>
    </row>
    <row r="7" spans="2:23" x14ac:dyDescent="0.25">
      <c r="B7">
        <v>5</v>
      </c>
      <c r="C7">
        <v>6</v>
      </c>
      <c r="D7">
        <v>16</v>
      </c>
      <c r="E7">
        <v>13</v>
      </c>
      <c r="F7">
        <v>2</v>
      </c>
      <c r="G7">
        <v>11</v>
      </c>
      <c r="H7">
        <v>10</v>
      </c>
      <c r="I7">
        <v>58</v>
      </c>
      <c r="J7" s="4">
        <f>Table2[[#This Row],[Red]]/Table2[[#This Row],[Total]]</f>
        <v>0.10344827586206896</v>
      </c>
      <c r="K7" s="4">
        <f>Table2[[#This Row],[Blue]]/Table2[[#This Row],[Total]]</f>
        <v>0.27586206896551724</v>
      </c>
      <c r="L7" s="4">
        <f>Table2[[#This Row],[Green]]/Table2[[#This Row],[Total]]</f>
        <v>0.22413793103448276</v>
      </c>
      <c r="M7" s="4">
        <f>Table2[[#This Row],[Yellow]]/Table2[[#This Row],[Total]]</f>
        <v>3.4482758620689655E-2</v>
      </c>
      <c r="N7" s="4">
        <f>Table2[[#This Row],[Orange]]/Table2[[#This Row],[Total]]</f>
        <v>0.18965517241379309</v>
      </c>
      <c r="O7" s="4">
        <f>Table2[[#This Row],[Brown]]/Table2[[#This Row],[Total]]</f>
        <v>0.17241379310344829</v>
      </c>
      <c r="R7" t="s">
        <v>38</v>
      </c>
      <c r="S7" s="5">
        <v>0.14000000000000001</v>
      </c>
    </row>
    <row r="8" spans="2:23" x14ac:dyDescent="0.25">
      <c r="B8">
        <v>6</v>
      </c>
      <c r="C8">
        <v>5</v>
      </c>
      <c r="D8">
        <v>9</v>
      </c>
      <c r="E8">
        <v>13</v>
      </c>
      <c r="F8">
        <v>4</v>
      </c>
      <c r="G8">
        <v>20</v>
      </c>
      <c r="H8">
        <v>6</v>
      </c>
      <c r="I8">
        <v>57</v>
      </c>
      <c r="J8" s="4">
        <f>Table2[[#This Row],[Red]]/Table2[[#This Row],[Total]]</f>
        <v>8.771929824561403E-2</v>
      </c>
      <c r="K8" s="4">
        <f>Table2[[#This Row],[Blue]]/Table2[[#This Row],[Total]]</f>
        <v>0.15789473684210525</v>
      </c>
      <c r="L8" s="4">
        <f>Table2[[#This Row],[Green]]/Table2[[#This Row],[Total]]</f>
        <v>0.22807017543859648</v>
      </c>
      <c r="M8" s="4">
        <f>Table2[[#This Row],[Yellow]]/Table2[[#This Row],[Total]]</f>
        <v>7.0175438596491224E-2</v>
      </c>
      <c r="N8" s="4">
        <f>Table2[[#This Row],[Orange]]/Table2[[#This Row],[Total]]</f>
        <v>0.35087719298245612</v>
      </c>
      <c r="O8" s="4">
        <f>Table2[[#This Row],[Brown]]/Table2[[#This Row],[Total]]</f>
        <v>0.10526315789473684</v>
      </c>
      <c r="R8" t="s">
        <v>39</v>
      </c>
      <c r="S8" s="5">
        <v>0.2</v>
      </c>
    </row>
    <row r="9" spans="2:23" x14ac:dyDescent="0.25">
      <c r="B9">
        <v>7</v>
      </c>
      <c r="C9">
        <v>4</v>
      </c>
      <c r="D9">
        <v>8</v>
      </c>
      <c r="E9">
        <v>7</v>
      </c>
      <c r="F9">
        <v>3</v>
      </c>
      <c r="G9">
        <v>24</v>
      </c>
      <c r="H9">
        <v>9</v>
      </c>
      <c r="I9">
        <v>55</v>
      </c>
      <c r="J9" s="4">
        <f>Table2[[#This Row],[Red]]/Table2[[#This Row],[Total]]</f>
        <v>7.2727272727272724E-2</v>
      </c>
      <c r="K9" s="4">
        <f>Table2[[#This Row],[Blue]]/Table2[[#This Row],[Total]]</f>
        <v>0.14545454545454545</v>
      </c>
      <c r="L9" s="4">
        <f>Table2[[#This Row],[Green]]/Table2[[#This Row],[Total]]</f>
        <v>0.12727272727272726</v>
      </c>
      <c r="M9" s="4">
        <f>Table2[[#This Row],[Yellow]]/Table2[[#This Row],[Total]]</f>
        <v>5.4545454545454543E-2</v>
      </c>
      <c r="N9" s="4">
        <f>Table2[[#This Row],[Orange]]/Table2[[#This Row],[Total]]</f>
        <v>0.43636363636363634</v>
      </c>
      <c r="O9" s="4">
        <f>Table2[[#This Row],[Brown]]/Table2[[#This Row],[Total]]</f>
        <v>0.16363636363636364</v>
      </c>
      <c r="R9" t="s">
        <v>40</v>
      </c>
      <c r="S9" s="5">
        <v>0.13</v>
      </c>
    </row>
    <row r="10" spans="2:23" x14ac:dyDescent="0.25">
      <c r="B10">
        <v>8</v>
      </c>
      <c r="C10">
        <v>6</v>
      </c>
      <c r="D10">
        <v>10</v>
      </c>
      <c r="E10">
        <v>8</v>
      </c>
      <c r="F10">
        <v>11</v>
      </c>
      <c r="G10">
        <v>12</v>
      </c>
      <c r="H10">
        <v>9</v>
      </c>
      <c r="I10">
        <v>56</v>
      </c>
      <c r="J10" s="4">
        <f>Table2[[#This Row],[Red]]/Table2[[#This Row],[Total]]</f>
        <v>0.10714285714285714</v>
      </c>
      <c r="K10" s="4">
        <f>Table2[[#This Row],[Blue]]/Table2[[#This Row],[Total]]</f>
        <v>0.17857142857142858</v>
      </c>
      <c r="L10" s="4">
        <f>Table2[[#This Row],[Green]]/Table2[[#This Row],[Total]]</f>
        <v>0.14285714285714285</v>
      </c>
      <c r="M10" s="4">
        <f>Table2[[#This Row],[Yellow]]/Table2[[#This Row],[Total]]</f>
        <v>0.19642857142857142</v>
      </c>
      <c r="N10" s="4">
        <f>Table2[[#This Row],[Orange]]/Table2[[#This Row],[Total]]</f>
        <v>0.21428571428571427</v>
      </c>
      <c r="O10" s="4">
        <f>Table2[[#This Row],[Brown]]/Table2[[#This Row],[Total]]</f>
        <v>0.16071428571428573</v>
      </c>
      <c r="V10">
        <v>64</v>
      </c>
      <c r="W10">
        <v>64</v>
      </c>
    </row>
    <row r="11" spans="2:23" x14ac:dyDescent="0.25">
      <c r="B11">
        <v>9</v>
      </c>
      <c r="C11">
        <v>7</v>
      </c>
      <c r="D11">
        <v>10</v>
      </c>
      <c r="E11">
        <v>7</v>
      </c>
      <c r="F11">
        <v>8</v>
      </c>
      <c r="G11">
        <v>11</v>
      </c>
      <c r="H11">
        <v>11</v>
      </c>
      <c r="I11">
        <v>54</v>
      </c>
      <c r="J11" s="4">
        <f>Table2[[#This Row],[Red]]/Table2[[#This Row],[Total]]</f>
        <v>0.12962962962962962</v>
      </c>
      <c r="K11" s="4">
        <f>Table2[[#This Row],[Blue]]/Table2[[#This Row],[Total]]</f>
        <v>0.18518518518518517</v>
      </c>
      <c r="L11" s="4">
        <f>Table2[[#This Row],[Green]]/Table2[[#This Row],[Total]]</f>
        <v>0.12962962962962962</v>
      </c>
      <c r="M11" s="4">
        <f>Table2[[#This Row],[Yellow]]/Table2[[#This Row],[Total]]</f>
        <v>0.14814814814814814</v>
      </c>
      <c r="N11" s="4">
        <f>Table2[[#This Row],[Orange]]/Table2[[#This Row],[Total]]</f>
        <v>0.20370370370370369</v>
      </c>
      <c r="O11" s="4">
        <f>Table2[[#This Row],[Brown]]/Table2[[#This Row],[Total]]</f>
        <v>0.20370370370370369</v>
      </c>
    </row>
    <row r="12" spans="2:23" x14ac:dyDescent="0.25">
      <c r="B12">
        <v>10</v>
      </c>
      <c r="C12">
        <v>4</v>
      </c>
      <c r="D12">
        <v>7</v>
      </c>
      <c r="E12">
        <v>7</v>
      </c>
      <c r="F12">
        <v>5</v>
      </c>
      <c r="G12">
        <v>14</v>
      </c>
      <c r="H12">
        <v>18</v>
      </c>
      <c r="I12">
        <v>55</v>
      </c>
      <c r="J12" s="4">
        <f>Table2[[#This Row],[Red]]/Table2[[#This Row],[Total]]</f>
        <v>7.2727272727272724E-2</v>
      </c>
      <c r="K12" s="4">
        <f>Table2[[#This Row],[Blue]]/Table2[[#This Row],[Total]]</f>
        <v>0.12727272727272726</v>
      </c>
      <c r="L12" s="4">
        <f>Table2[[#This Row],[Green]]/Table2[[#This Row],[Total]]</f>
        <v>0.12727272727272726</v>
      </c>
      <c r="M12" s="4">
        <f>Table2[[#This Row],[Yellow]]/Table2[[#This Row],[Total]]</f>
        <v>9.0909090909090912E-2</v>
      </c>
      <c r="N12" s="4">
        <f>Table2[[#This Row],[Orange]]/Table2[[#This Row],[Total]]</f>
        <v>0.25454545454545452</v>
      </c>
      <c r="O12" s="4">
        <f>Table2[[#This Row],[Brown]]/Table2[[#This Row],[Total]]</f>
        <v>0.32727272727272727</v>
      </c>
    </row>
    <row r="13" spans="2:23" x14ac:dyDescent="0.25">
      <c r="B13">
        <v>11</v>
      </c>
      <c r="C13">
        <v>6</v>
      </c>
      <c r="D13">
        <v>8</v>
      </c>
      <c r="E13">
        <v>11</v>
      </c>
      <c r="F13">
        <v>3</v>
      </c>
      <c r="G13">
        <v>19</v>
      </c>
      <c r="H13">
        <v>7</v>
      </c>
      <c r="I13">
        <v>54</v>
      </c>
      <c r="J13" s="4">
        <f>Table2[[#This Row],[Red]]/Table2[[#This Row],[Total]]</f>
        <v>0.1111111111111111</v>
      </c>
      <c r="K13" s="4">
        <f>Table2[[#This Row],[Blue]]/Table2[[#This Row],[Total]]</f>
        <v>0.14814814814814814</v>
      </c>
      <c r="L13" s="4">
        <f>Table2[[#This Row],[Green]]/Table2[[#This Row],[Total]]</f>
        <v>0.20370370370370369</v>
      </c>
      <c r="M13" s="4">
        <f>Table2[[#This Row],[Yellow]]/Table2[[#This Row],[Total]]</f>
        <v>5.5555555555555552E-2</v>
      </c>
      <c r="N13" s="4">
        <f>Table2[[#This Row],[Orange]]/Table2[[#This Row],[Total]]</f>
        <v>0.35185185185185186</v>
      </c>
      <c r="O13" s="4">
        <f>Table2[[#This Row],[Brown]]/Table2[[#This Row],[Total]]</f>
        <v>0.12962962962962962</v>
      </c>
      <c r="Q13" t="s">
        <v>44</v>
      </c>
      <c r="R13" t="s">
        <v>35</v>
      </c>
      <c r="S13" t="s">
        <v>36</v>
      </c>
      <c r="T13" t="s">
        <v>37</v>
      </c>
      <c r="U13" t="s">
        <v>38</v>
      </c>
      <c r="V13" t="s">
        <v>39</v>
      </c>
      <c r="W13" t="s">
        <v>40</v>
      </c>
    </row>
    <row r="14" spans="2:23" x14ac:dyDescent="0.25">
      <c r="B14">
        <v>12</v>
      </c>
      <c r="C14">
        <v>8</v>
      </c>
      <c r="D14">
        <v>15</v>
      </c>
      <c r="E14">
        <v>7</v>
      </c>
      <c r="F14">
        <v>9</v>
      </c>
      <c r="G14">
        <v>8</v>
      </c>
      <c r="H14">
        <v>9</v>
      </c>
      <c r="I14">
        <v>56</v>
      </c>
      <c r="J14" s="4">
        <f>Table2[[#This Row],[Red]]/Table2[[#This Row],[Total]]</f>
        <v>0.14285714285714285</v>
      </c>
      <c r="K14" s="4">
        <f>Table2[[#This Row],[Blue]]/Table2[[#This Row],[Total]]</f>
        <v>0.26785714285714285</v>
      </c>
      <c r="L14" s="4">
        <f>Table2[[#This Row],[Green]]/Table2[[#This Row],[Total]]</f>
        <v>0.125</v>
      </c>
      <c r="M14" s="4">
        <f>Table2[[#This Row],[Yellow]]/Table2[[#This Row],[Total]]</f>
        <v>0.16071428571428573</v>
      </c>
      <c r="N14" s="4">
        <f>Table2[[#This Row],[Orange]]/Table2[[#This Row],[Total]]</f>
        <v>0.14285714285714285</v>
      </c>
      <c r="O14" s="4">
        <f>Table2[[#This Row],[Brown]]/Table2[[#This Row],[Total]]</f>
        <v>0.16071428571428573</v>
      </c>
      <c r="Q14" t="s">
        <v>42</v>
      </c>
      <c r="R14" s="3">
        <f>Table2[[#Totals],[Red]]/Table2[[#Totals],[Total]]</f>
        <v>0.14031918096958748</v>
      </c>
      <c r="S14" s="3">
        <f>Table2[[#Totals],[Blue]]/Table2[[#Totals],[Total]]</f>
        <v>0.21439325504366155</v>
      </c>
      <c r="T14" s="3">
        <f>Table2[[#Totals],[Green]]/Table2[[#Totals],[Total]]</f>
        <v>0.17434507678410116</v>
      </c>
      <c r="U14" s="3">
        <f>Table2[[#Totals],[Yellow]]/Table2[[#Totals],[Total]]</f>
        <v>0.14483589280337247</v>
      </c>
      <c r="V14" s="3">
        <f>Table2[[#Totals],[Orange]]/Table2[[#Totals],[Total]]</f>
        <v>0.17795844625112917</v>
      </c>
      <c r="W14" s="3">
        <f>Table2[[#Totals],[Brown]]/Table2[[#Totals],[Total]]</f>
        <v>0.14814814814814814</v>
      </c>
    </row>
    <row r="15" spans="2:23" x14ac:dyDescent="0.25">
      <c r="B15">
        <v>13</v>
      </c>
      <c r="C15">
        <v>7</v>
      </c>
      <c r="D15">
        <v>14</v>
      </c>
      <c r="E15">
        <v>14</v>
      </c>
      <c r="F15">
        <v>8</v>
      </c>
      <c r="G15">
        <v>6</v>
      </c>
      <c r="H15">
        <v>6</v>
      </c>
      <c r="I15">
        <v>55</v>
      </c>
      <c r="J15" s="4">
        <f>Table2[[#This Row],[Red]]/Table2[[#This Row],[Total]]</f>
        <v>0.12727272727272726</v>
      </c>
      <c r="K15" s="4">
        <f>Table2[[#This Row],[Blue]]/Table2[[#This Row],[Total]]</f>
        <v>0.25454545454545452</v>
      </c>
      <c r="L15" s="4">
        <f>Table2[[#This Row],[Green]]/Table2[[#This Row],[Total]]</f>
        <v>0.25454545454545452</v>
      </c>
      <c r="M15" s="4">
        <f>Table2[[#This Row],[Yellow]]/Table2[[#This Row],[Total]]</f>
        <v>0.14545454545454545</v>
      </c>
      <c r="N15" s="4">
        <f>Table2[[#This Row],[Orange]]/Table2[[#This Row],[Total]]</f>
        <v>0.10909090909090909</v>
      </c>
      <c r="O15" s="4">
        <f>Table2[[#This Row],[Brown]]/Table2[[#This Row],[Total]]</f>
        <v>0.10909090909090909</v>
      </c>
      <c r="Q15" t="s">
        <v>43</v>
      </c>
      <c r="R15" s="3">
        <f>Table2[[#Totals],[Total]]/Table2[[#Totals],[M&amp;M Bag]]</f>
        <v>55.35</v>
      </c>
      <c r="S15" s="3">
        <f>Table2[[#Totals],[Total]]/Table2[[#Totals],[M&amp;M Bag]]</f>
        <v>55.35</v>
      </c>
      <c r="T15" s="3">
        <f>Table2[[#Totals],[Total]]/Table2[[#Totals],[M&amp;M Bag]]</f>
        <v>55.35</v>
      </c>
      <c r="U15" s="3">
        <f>Table2[[#Totals],[Total]]/Table2[[#Totals],[M&amp;M Bag]]</f>
        <v>55.35</v>
      </c>
      <c r="V15" s="3">
        <f>Table2[[#Totals],[Total]]/Table2[[#Totals],[M&amp;M Bag]]</f>
        <v>55.35</v>
      </c>
      <c r="W15" s="3">
        <f>Table2[[#Totals],[Total]]/Table2[[#Totals],[M&amp;M Bag]]</f>
        <v>55.35</v>
      </c>
    </row>
    <row r="16" spans="2:23" x14ac:dyDescent="0.25">
      <c r="B16">
        <v>14</v>
      </c>
      <c r="C16">
        <v>6</v>
      </c>
      <c r="D16">
        <v>16</v>
      </c>
      <c r="E16">
        <v>17</v>
      </c>
      <c r="F16">
        <v>6</v>
      </c>
      <c r="G16">
        <v>5</v>
      </c>
      <c r="H16">
        <v>5</v>
      </c>
      <c r="I16">
        <v>55</v>
      </c>
      <c r="J16" s="4">
        <f>Table2[[#This Row],[Red]]/Table2[[#This Row],[Total]]</f>
        <v>0.10909090909090909</v>
      </c>
      <c r="K16" s="4">
        <f>Table2[[#This Row],[Blue]]/Table2[[#This Row],[Total]]</f>
        <v>0.29090909090909089</v>
      </c>
      <c r="L16" s="4">
        <f>Table2[[#This Row],[Green]]/Table2[[#This Row],[Total]]</f>
        <v>0.30909090909090908</v>
      </c>
      <c r="M16" s="4">
        <f>Table2[[#This Row],[Yellow]]/Table2[[#This Row],[Total]]</f>
        <v>0.10909090909090909</v>
      </c>
      <c r="N16" s="4">
        <f>Table2[[#This Row],[Orange]]/Table2[[#This Row],[Total]]</f>
        <v>9.0909090909090912E-2</v>
      </c>
      <c r="O16" s="4">
        <f>Table2[[#This Row],[Brown]]/Table2[[#This Row],[Total]]</f>
        <v>9.0909090909090912E-2</v>
      </c>
      <c r="Q16" t="s">
        <v>48</v>
      </c>
      <c r="R16" s="3">
        <f t="shared" ref="R16:W16" si="0">SQRT((R14*(1-R14)/R15))</f>
        <v>4.6684028597966047E-2</v>
      </c>
      <c r="S16" s="3">
        <f t="shared" si="0"/>
        <v>5.5163186871550175E-2</v>
      </c>
      <c r="T16" s="3">
        <f t="shared" si="0"/>
        <v>5.0997081055254766E-2</v>
      </c>
      <c r="U16" s="3">
        <f t="shared" si="0"/>
        <v>4.7304670309053873E-2</v>
      </c>
      <c r="V16" s="3">
        <f t="shared" si="0"/>
        <v>5.1409972997069411E-2</v>
      </c>
      <c r="W16" s="3">
        <f t="shared" si="0"/>
        <v>4.7749775814193471E-2</v>
      </c>
    </row>
    <row r="17" spans="2:34" x14ac:dyDescent="0.25">
      <c r="B17">
        <v>15</v>
      </c>
      <c r="C17">
        <v>8</v>
      </c>
      <c r="D17">
        <v>15</v>
      </c>
      <c r="E17">
        <v>9</v>
      </c>
      <c r="F17">
        <v>8</v>
      </c>
      <c r="G17">
        <v>11</v>
      </c>
      <c r="H17">
        <v>4</v>
      </c>
      <c r="I17">
        <v>55</v>
      </c>
      <c r="J17" s="4">
        <f>Table2[[#This Row],[Red]]/Table2[[#This Row],[Total]]</f>
        <v>0.14545454545454545</v>
      </c>
      <c r="K17" s="4">
        <f>Table2[[#This Row],[Blue]]/Table2[[#This Row],[Total]]</f>
        <v>0.27272727272727271</v>
      </c>
      <c r="L17" s="4">
        <f>Table2[[#This Row],[Green]]/Table2[[#This Row],[Total]]</f>
        <v>0.16363636363636364</v>
      </c>
      <c r="M17" s="4">
        <f>Table2[[#This Row],[Yellow]]/Table2[[#This Row],[Total]]</f>
        <v>0.14545454545454545</v>
      </c>
      <c r="N17" s="4">
        <f>Table2[[#This Row],[Orange]]/Table2[[#This Row],[Total]]</f>
        <v>0.2</v>
      </c>
      <c r="O17" s="4">
        <f>Table2[[#This Row],[Brown]]/Table2[[#This Row],[Total]]</f>
        <v>7.2727272727272724E-2</v>
      </c>
      <c r="Q17" t="s">
        <v>11</v>
      </c>
      <c r="R17" s="3">
        <f t="shared" ref="R17:W17" si="1">R14+3*R16</f>
        <v>0.28037126676348562</v>
      </c>
      <c r="S17" s="3">
        <f t="shared" si="1"/>
        <v>0.37988281565831206</v>
      </c>
      <c r="T17" s="3">
        <f t="shared" si="1"/>
        <v>0.32733631994986545</v>
      </c>
      <c r="U17" s="3">
        <f t="shared" si="1"/>
        <v>0.28674990373053411</v>
      </c>
      <c r="V17" s="3">
        <f t="shared" si="1"/>
        <v>0.33218836524233741</v>
      </c>
      <c r="W17" s="3">
        <f t="shared" si="1"/>
        <v>0.29139747559072854</v>
      </c>
    </row>
    <row r="18" spans="2:34" x14ac:dyDescent="0.25">
      <c r="B18">
        <v>16</v>
      </c>
      <c r="C18">
        <v>5</v>
      </c>
      <c r="D18">
        <v>7</v>
      </c>
      <c r="E18">
        <v>8</v>
      </c>
      <c r="F18">
        <v>12</v>
      </c>
      <c r="G18">
        <v>11</v>
      </c>
      <c r="H18">
        <v>12</v>
      </c>
      <c r="I18">
        <v>55</v>
      </c>
      <c r="J18" s="4">
        <f>Table2[[#This Row],[Red]]/Table2[[#This Row],[Total]]</f>
        <v>9.0909090909090912E-2</v>
      </c>
      <c r="K18" s="4">
        <f>Table2[[#This Row],[Blue]]/Table2[[#This Row],[Total]]</f>
        <v>0.12727272727272726</v>
      </c>
      <c r="L18" s="4">
        <f>Table2[[#This Row],[Green]]/Table2[[#This Row],[Total]]</f>
        <v>0.14545454545454545</v>
      </c>
      <c r="M18" s="4">
        <f>Table2[[#This Row],[Yellow]]/Table2[[#This Row],[Total]]</f>
        <v>0.21818181818181817</v>
      </c>
      <c r="N18" s="4">
        <f>Table2[[#This Row],[Orange]]/Table2[[#This Row],[Total]]</f>
        <v>0.2</v>
      </c>
      <c r="O18" s="4">
        <f>Table2[[#This Row],[Brown]]/Table2[[#This Row],[Total]]</f>
        <v>0.21818181818181817</v>
      </c>
      <c r="Q18" t="s">
        <v>10</v>
      </c>
      <c r="R18" s="3">
        <f>S4</f>
        <v>0.13</v>
      </c>
      <c r="S18" s="3">
        <f>S5</f>
        <v>0.24</v>
      </c>
      <c r="T18" s="3">
        <f>S6</f>
        <v>0.16</v>
      </c>
      <c r="U18" s="3">
        <f>S7</f>
        <v>0.14000000000000001</v>
      </c>
      <c r="V18" s="3">
        <f>S8</f>
        <v>0.2</v>
      </c>
      <c r="W18" s="3">
        <f>S9</f>
        <v>0.13</v>
      </c>
    </row>
    <row r="19" spans="2:34" x14ac:dyDescent="0.25">
      <c r="B19">
        <v>17</v>
      </c>
      <c r="C19">
        <v>8</v>
      </c>
      <c r="D19">
        <v>11</v>
      </c>
      <c r="E19">
        <v>8</v>
      </c>
      <c r="F19">
        <v>4</v>
      </c>
      <c r="G19">
        <v>10</v>
      </c>
      <c r="H19">
        <v>11</v>
      </c>
      <c r="I19">
        <v>52</v>
      </c>
      <c r="J19" s="4">
        <f>Table2[[#This Row],[Red]]/Table2[[#This Row],[Total]]</f>
        <v>0.15384615384615385</v>
      </c>
      <c r="K19" s="4">
        <f>Table2[[#This Row],[Blue]]/Table2[[#This Row],[Total]]</f>
        <v>0.21153846153846154</v>
      </c>
      <c r="L19" s="4">
        <f>Table2[[#This Row],[Green]]/Table2[[#This Row],[Total]]</f>
        <v>0.15384615384615385</v>
      </c>
      <c r="M19" s="4">
        <f>Table2[[#This Row],[Yellow]]/Table2[[#This Row],[Total]]</f>
        <v>7.6923076923076927E-2</v>
      </c>
      <c r="N19" s="4">
        <f>Table2[[#This Row],[Orange]]/Table2[[#This Row],[Total]]</f>
        <v>0.19230769230769232</v>
      </c>
      <c r="O19" s="4">
        <f>Table2[[#This Row],[Brown]]/Table2[[#This Row],[Total]]</f>
        <v>0.21153846153846154</v>
      </c>
      <c r="Q19" t="s">
        <v>9</v>
      </c>
      <c r="R19" s="3">
        <f>R14-3*R16</f>
        <v>2.6709517568934693E-4</v>
      </c>
      <c r="S19" s="3">
        <f t="shared" ref="S19:W19" si="2">S14-3*S16</f>
        <v>4.8903694429011019E-2</v>
      </c>
      <c r="T19" s="3">
        <f t="shared" si="2"/>
        <v>2.135383361833687E-2</v>
      </c>
      <c r="U19" s="3">
        <f t="shared" si="2"/>
        <v>2.9218818762108689E-3</v>
      </c>
      <c r="V19" s="3">
        <f t="shared" si="2"/>
        <v>2.3728527259920917E-2</v>
      </c>
      <c r="W19" s="3">
        <f t="shared" si="2"/>
        <v>4.8988207055677413E-3</v>
      </c>
    </row>
    <row r="20" spans="2:34" x14ac:dyDescent="0.25">
      <c r="B20">
        <v>18</v>
      </c>
      <c r="C20">
        <v>13</v>
      </c>
      <c r="D20">
        <v>14</v>
      </c>
      <c r="E20">
        <v>8</v>
      </c>
      <c r="F20">
        <v>6</v>
      </c>
      <c r="G20">
        <v>7</v>
      </c>
      <c r="H20">
        <v>5</v>
      </c>
      <c r="I20">
        <v>53</v>
      </c>
      <c r="J20" s="4">
        <f>Table2[[#This Row],[Red]]/Table2[[#This Row],[Total]]</f>
        <v>0.24528301886792453</v>
      </c>
      <c r="K20" s="4">
        <f>Table2[[#This Row],[Blue]]/Table2[[#This Row],[Total]]</f>
        <v>0.26415094339622641</v>
      </c>
      <c r="L20" s="4">
        <f>Table2[[#This Row],[Green]]/Table2[[#This Row],[Total]]</f>
        <v>0.15094339622641509</v>
      </c>
      <c r="M20" s="4">
        <f>Table2[[#This Row],[Yellow]]/Table2[[#This Row],[Total]]</f>
        <v>0.11320754716981132</v>
      </c>
      <c r="N20" s="4">
        <f>Table2[[#This Row],[Orange]]/Table2[[#This Row],[Total]]</f>
        <v>0.13207547169811321</v>
      </c>
      <c r="O20" s="4">
        <f>Table2[[#This Row],[Brown]]/Table2[[#This Row],[Total]]</f>
        <v>9.4339622641509441E-2</v>
      </c>
    </row>
    <row r="21" spans="2:34" x14ac:dyDescent="0.25">
      <c r="B21">
        <v>19</v>
      </c>
      <c r="C21">
        <v>7</v>
      </c>
      <c r="D21">
        <v>20</v>
      </c>
      <c r="E21">
        <v>5</v>
      </c>
      <c r="F21">
        <v>10</v>
      </c>
      <c r="G21">
        <v>12</v>
      </c>
      <c r="H21">
        <v>3</v>
      </c>
      <c r="I21">
        <v>57</v>
      </c>
      <c r="J21" s="4">
        <f>Table2[[#This Row],[Red]]/Table2[[#This Row],[Total]]</f>
        <v>0.12280701754385964</v>
      </c>
      <c r="K21" s="4">
        <f>Table2[[#This Row],[Blue]]/Table2[[#This Row],[Total]]</f>
        <v>0.35087719298245612</v>
      </c>
      <c r="L21" s="4">
        <f>Table2[[#This Row],[Green]]/Table2[[#This Row],[Total]]</f>
        <v>8.771929824561403E-2</v>
      </c>
      <c r="M21" s="4">
        <f>Table2[[#This Row],[Yellow]]/Table2[[#This Row],[Total]]</f>
        <v>0.17543859649122806</v>
      </c>
      <c r="N21" s="4">
        <f>Table2[[#This Row],[Orange]]/Table2[[#This Row],[Total]]</f>
        <v>0.21052631578947367</v>
      </c>
      <c r="O21" s="4">
        <f>Table2[[#This Row],[Brown]]/Table2[[#This Row],[Total]]</f>
        <v>5.2631578947368418E-2</v>
      </c>
    </row>
    <row r="22" spans="2:34" x14ac:dyDescent="0.25">
      <c r="B22">
        <v>20</v>
      </c>
      <c r="C22">
        <v>6</v>
      </c>
      <c r="D22">
        <v>16</v>
      </c>
      <c r="E22">
        <v>12</v>
      </c>
      <c r="F22">
        <v>7</v>
      </c>
      <c r="G22">
        <v>4</v>
      </c>
      <c r="H22">
        <v>10</v>
      </c>
      <c r="I22">
        <v>55</v>
      </c>
      <c r="J22" s="4">
        <f>Table2[[#This Row],[Red]]/Table2[[#This Row],[Total]]</f>
        <v>0.10909090909090909</v>
      </c>
      <c r="K22" s="4">
        <f>Table2[[#This Row],[Blue]]/Table2[[#This Row],[Total]]</f>
        <v>0.29090909090909089</v>
      </c>
      <c r="L22" s="4">
        <f>Table2[[#This Row],[Green]]/Table2[[#This Row],[Total]]</f>
        <v>0.21818181818181817</v>
      </c>
      <c r="M22" s="4">
        <f>Table2[[#This Row],[Yellow]]/Table2[[#This Row],[Total]]</f>
        <v>0.12727272727272726</v>
      </c>
      <c r="N22" s="4">
        <f>Table2[[#This Row],[Orange]]/Table2[[#This Row],[Total]]</f>
        <v>7.2727272727272724E-2</v>
      </c>
      <c r="O22" s="4">
        <f>Table2[[#This Row],[Brown]]/Table2[[#This Row],[Total]]</f>
        <v>0.18181818181818182</v>
      </c>
    </row>
    <row r="23" spans="2:34" x14ac:dyDescent="0.25">
      <c r="B23">
        <v>21</v>
      </c>
      <c r="C23">
        <v>10</v>
      </c>
      <c r="D23">
        <v>16</v>
      </c>
      <c r="E23">
        <v>6</v>
      </c>
      <c r="F23">
        <v>11</v>
      </c>
      <c r="G23">
        <v>4</v>
      </c>
      <c r="H23">
        <v>9</v>
      </c>
      <c r="I23">
        <v>56</v>
      </c>
      <c r="J23" s="4">
        <f>Table2[[#This Row],[Red]]/Table2[[#This Row],[Total]]</f>
        <v>0.17857142857142858</v>
      </c>
      <c r="K23" s="4">
        <f>Table2[[#This Row],[Blue]]/Table2[[#This Row],[Total]]</f>
        <v>0.2857142857142857</v>
      </c>
      <c r="L23" s="4">
        <f>Table2[[#This Row],[Green]]/Table2[[#This Row],[Total]]</f>
        <v>0.10714285714285714</v>
      </c>
      <c r="M23" s="4">
        <f>Table2[[#This Row],[Yellow]]/Table2[[#This Row],[Total]]</f>
        <v>0.19642857142857142</v>
      </c>
      <c r="N23" s="4">
        <f>Table2[[#This Row],[Orange]]/Table2[[#This Row],[Total]]</f>
        <v>7.1428571428571425E-2</v>
      </c>
      <c r="O23" s="4">
        <f>Table2[[#This Row],[Brown]]/Table2[[#This Row],[Total]]</f>
        <v>0.16071428571428573</v>
      </c>
      <c r="Q23" s="10" t="s">
        <v>35</v>
      </c>
      <c r="R23" s="10"/>
      <c r="S23" s="10"/>
      <c r="T23" s="10" t="s">
        <v>36</v>
      </c>
      <c r="U23" s="10"/>
      <c r="V23" s="10"/>
      <c r="W23" s="10" t="s">
        <v>37</v>
      </c>
      <c r="X23" s="10"/>
      <c r="Y23" s="10"/>
      <c r="Z23" s="10" t="s">
        <v>38</v>
      </c>
      <c r="AA23" s="10"/>
      <c r="AB23" s="10"/>
      <c r="AC23" s="10" t="s">
        <v>39</v>
      </c>
      <c r="AD23" s="10"/>
      <c r="AE23" s="10"/>
      <c r="AF23" s="10" t="s">
        <v>40</v>
      </c>
      <c r="AG23" s="10"/>
      <c r="AH23" s="10"/>
    </row>
    <row r="24" spans="2:34" x14ac:dyDescent="0.25">
      <c r="B24">
        <v>22</v>
      </c>
      <c r="C24">
        <v>12</v>
      </c>
      <c r="D24">
        <v>12</v>
      </c>
      <c r="E24">
        <v>13</v>
      </c>
      <c r="F24">
        <v>5</v>
      </c>
      <c r="G24">
        <v>6</v>
      </c>
      <c r="H24">
        <v>7</v>
      </c>
      <c r="I24">
        <v>55</v>
      </c>
      <c r="J24" s="4">
        <f>Table2[[#This Row],[Red]]/Table2[[#This Row],[Total]]</f>
        <v>0.21818181818181817</v>
      </c>
      <c r="K24" s="4">
        <f>Table2[[#This Row],[Blue]]/Table2[[#This Row],[Total]]</f>
        <v>0.21818181818181817</v>
      </c>
      <c r="L24" s="4">
        <f>Table2[[#This Row],[Green]]/Table2[[#This Row],[Total]]</f>
        <v>0.23636363636363636</v>
      </c>
      <c r="M24" s="4">
        <f>Table2[[#This Row],[Yellow]]/Table2[[#This Row],[Total]]</f>
        <v>9.0909090909090912E-2</v>
      </c>
      <c r="N24" s="4">
        <f>Table2[[#This Row],[Orange]]/Table2[[#This Row],[Total]]</f>
        <v>0.10909090909090909</v>
      </c>
      <c r="O24" s="4">
        <f>Table2[[#This Row],[Brown]]/Table2[[#This Row],[Total]]</f>
        <v>0.12727272727272726</v>
      </c>
      <c r="Q24" t="s">
        <v>9</v>
      </c>
      <c r="R24" t="s">
        <v>10</v>
      </c>
      <c r="S24" s="7" t="s">
        <v>11</v>
      </c>
      <c r="T24" t="s">
        <v>9</v>
      </c>
      <c r="U24" t="s">
        <v>10</v>
      </c>
      <c r="V24" s="7" t="s">
        <v>11</v>
      </c>
      <c r="W24" t="s">
        <v>9</v>
      </c>
      <c r="X24" t="s">
        <v>10</v>
      </c>
      <c r="Y24" s="7" t="s">
        <v>11</v>
      </c>
      <c r="Z24" t="s">
        <v>9</v>
      </c>
      <c r="AA24" t="s">
        <v>10</v>
      </c>
      <c r="AB24" s="7" t="s">
        <v>11</v>
      </c>
      <c r="AC24" t="s">
        <v>9</v>
      </c>
      <c r="AD24" t="s">
        <v>10</v>
      </c>
      <c r="AE24" s="7" t="s">
        <v>11</v>
      </c>
      <c r="AF24" t="s">
        <v>9</v>
      </c>
      <c r="AG24" t="s">
        <v>10</v>
      </c>
      <c r="AH24" t="s">
        <v>11</v>
      </c>
    </row>
    <row r="25" spans="2:34" x14ac:dyDescent="0.25">
      <c r="B25">
        <v>23</v>
      </c>
      <c r="C25">
        <v>8</v>
      </c>
      <c r="D25">
        <v>5</v>
      </c>
      <c r="E25">
        <v>13</v>
      </c>
      <c r="F25">
        <v>10</v>
      </c>
      <c r="G25">
        <v>11</v>
      </c>
      <c r="H25">
        <v>9</v>
      </c>
      <c r="I25">
        <v>56</v>
      </c>
      <c r="J25" s="4">
        <f>Table2[[#This Row],[Red]]/Table2[[#This Row],[Total]]</f>
        <v>0.14285714285714285</v>
      </c>
      <c r="K25" s="4">
        <f>Table2[[#This Row],[Blue]]/Table2[[#This Row],[Total]]</f>
        <v>8.9285714285714288E-2</v>
      </c>
      <c r="L25" s="4">
        <f>Table2[[#This Row],[Green]]/Table2[[#This Row],[Total]]</f>
        <v>0.23214285714285715</v>
      </c>
      <c r="M25" s="4">
        <f>Table2[[#This Row],[Yellow]]/Table2[[#This Row],[Total]]</f>
        <v>0.17857142857142858</v>
      </c>
      <c r="N25" s="4">
        <f>Table2[[#This Row],[Orange]]/Table2[[#This Row],[Total]]</f>
        <v>0.19642857142857142</v>
      </c>
      <c r="O25" s="4">
        <f>Table2[[#This Row],[Brown]]/Table2[[#This Row],[Total]]</f>
        <v>0.16071428571428573</v>
      </c>
      <c r="Q25" s="6">
        <f>$R$19</f>
        <v>2.6709517568934693E-4</v>
      </c>
      <c r="R25" s="6">
        <f>$R$18</f>
        <v>0.13</v>
      </c>
      <c r="S25" s="8">
        <f>$R$17</f>
        <v>0.28037126676348562</v>
      </c>
      <c r="T25" s="6">
        <f>$S$19</f>
        <v>4.8903694429011019E-2</v>
      </c>
      <c r="U25" s="6">
        <f>$S$18</f>
        <v>0.24</v>
      </c>
      <c r="V25" s="8">
        <f>$S$17</f>
        <v>0.37988281565831206</v>
      </c>
      <c r="W25" s="6">
        <f>$T$19</f>
        <v>2.135383361833687E-2</v>
      </c>
      <c r="X25" s="6">
        <f>$T$18</f>
        <v>0.16</v>
      </c>
      <c r="Y25" s="8">
        <f>$T$17</f>
        <v>0.32733631994986545</v>
      </c>
      <c r="Z25" s="6">
        <f>$U$19</f>
        <v>2.9218818762108689E-3</v>
      </c>
      <c r="AA25" s="6">
        <f>$U$18</f>
        <v>0.14000000000000001</v>
      </c>
      <c r="AB25" s="8">
        <f>$U$17</f>
        <v>0.28674990373053411</v>
      </c>
      <c r="AC25" s="6">
        <f>$V$19</f>
        <v>2.3728527259920917E-2</v>
      </c>
      <c r="AD25" s="6">
        <f>$V$18</f>
        <v>0.2</v>
      </c>
      <c r="AE25" s="8">
        <f>$V$17</f>
        <v>0.33218836524233741</v>
      </c>
      <c r="AF25" s="6">
        <f>$W$19</f>
        <v>4.8988207055677413E-3</v>
      </c>
      <c r="AG25" s="6">
        <f>$W$18</f>
        <v>0.13</v>
      </c>
      <c r="AH25" s="6">
        <f>$W$17</f>
        <v>0.29139747559072854</v>
      </c>
    </row>
    <row r="26" spans="2:34" x14ac:dyDescent="0.25">
      <c r="B26">
        <v>24</v>
      </c>
      <c r="C26">
        <v>6</v>
      </c>
      <c r="D26">
        <v>7</v>
      </c>
      <c r="E26">
        <v>12</v>
      </c>
      <c r="F26">
        <v>16</v>
      </c>
      <c r="G26">
        <v>7</v>
      </c>
      <c r="H26">
        <v>9</v>
      </c>
      <c r="I26">
        <v>57</v>
      </c>
      <c r="J26" s="4">
        <f>Table2[[#This Row],[Red]]/Table2[[#This Row],[Total]]</f>
        <v>0.10526315789473684</v>
      </c>
      <c r="K26" s="4">
        <f>Table2[[#This Row],[Blue]]/Table2[[#This Row],[Total]]</f>
        <v>0.12280701754385964</v>
      </c>
      <c r="L26" s="4">
        <f>Table2[[#This Row],[Green]]/Table2[[#This Row],[Total]]</f>
        <v>0.21052631578947367</v>
      </c>
      <c r="M26" s="4">
        <f>Table2[[#This Row],[Yellow]]/Table2[[#This Row],[Total]]</f>
        <v>0.2807017543859649</v>
      </c>
      <c r="N26" s="4">
        <f>Table2[[#This Row],[Orange]]/Table2[[#This Row],[Total]]</f>
        <v>0.12280701754385964</v>
      </c>
      <c r="O26" s="4">
        <f>Table2[[#This Row],[Brown]]/Table2[[#This Row],[Total]]</f>
        <v>0.15789473684210525</v>
      </c>
      <c r="Q26" s="6">
        <f t="shared" ref="Q26:Q84" si="3">$R$19</f>
        <v>2.6709517568934693E-4</v>
      </c>
      <c r="R26" s="6">
        <f t="shared" ref="R26:R84" si="4">$R$18</f>
        <v>0.13</v>
      </c>
      <c r="S26" s="8">
        <f t="shared" ref="S26:S84" si="5">$R$17</f>
        <v>0.28037126676348562</v>
      </c>
      <c r="T26" s="6">
        <f t="shared" ref="T26:T84" si="6">$S$19</f>
        <v>4.8903694429011019E-2</v>
      </c>
      <c r="U26" s="6">
        <f t="shared" ref="U26:U84" si="7">$S$18</f>
        <v>0.24</v>
      </c>
      <c r="V26" s="8">
        <f t="shared" ref="V26:V84" si="8">$S$17</f>
        <v>0.37988281565831206</v>
      </c>
      <c r="W26" s="6">
        <f t="shared" ref="W26:W84" si="9">$T$19</f>
        <v>2.135383361833687E-2</v>
      </c>
      <c r="X26" s="6">
        <f t="shared" ref="X26:X84" si="10">$T$18</f>
        <v>0.16</v>
      </c>
      <c r="Y26" s="8">
        <f t="shared" ref="Y26:Y84" si="11">$T$17</f>
        <v>0.32733631994986545</v>
      </c>
      <c r="Z26" s="6">
        <f t="shared" ref="Z26:Z84" si="12">$U$19</f>
        <v>2.9218818762108689E-3</v>
      </c>
      <c r="AA26" s="6">
        <f t="shared" ref="AA26:AA84" si="13">$U$18</f>
        <v>0.14000000000000001</v>
      </c>
      <c r="AB26" s="8">
        <f t="shared" ref="AB26:AB84" si="14">$U$17</f>
        <v>0.28674990373053411</v>
      </c>
      <c r="AC26" s="6">
        <f t="shared" ref="AC26:AC84" si="15">$V$19</f>
        <v>2.3728527259920917E-2</v>
      </c>
      <c r="AD26" s="6">
        <f t="shared" ref="AD26:AD84" si="16">$V$18</f>
        <v>0.2</v>
      </c>
      <c r="AE26" s="8">
        <f t="shared" ref="AE26:AE84" si="17">$V$17</f>
        <v>0.33218836524233741</v>
      </c>
      <c r="AF26" s="6">
        <f t="shared" ref="AF26:AF84" si="18">$W$19</f>
        <v>4.8988207055677413E-3</v>
      </c>
      <c r="AG26" s="6">
        <f t="shared" ref="AG26:AG84" si="19">$W$18</f>
        <v>0.13</v>
      </c>
      <c r="AH26" s="6">
        <f t="shared" ref="AH26:AH84" si="20">$W$17</f>
        <v>0.29139747559072854</v>
      </c>
    </row>
    <row r="27" spans="2:34" x14ac:dyDescent="0.25">
      <c r="B27">
        <v>25</v>
      </c>
      <c r="C27">
        <v>9</v>
      </c>
      <c r="D27">
        <v>13</v>
      </c>
      <c r="E27">
        <v>15</v>
      </c>
      <c r="F27">
        <v>9</v>
      </c>
      <c r="G27">
        <v>4</v>
      </c>
      <c r="H27">
        <v>7</v>
      </c>
      <c r="I27">
        <v>57</v>
      </c>
      <c r="J27" s="4">
        <f>Table2[[#This Row],[Red]]/Table2[[#This Row],[Total]]</f>
        <v>0.15789473684210525</v>
      </c>
      <c r="K27" s="4">
        <f>Table2[[#This Row],[Blue]]/Table2[[#This Row],[Total]]</f>
        <v>0.22807017543859648</v>
      </c>
      <c r="L27" s="4">
        <f>Table2[[#This Row],[Green]]/Table2[[#This Row],[Total]]</f>
        <v>0.26315789473684209</v>
      </c>
      <c r="M27" s="4">
        <f>Table2[[#This Row],[Yellow]]/Table2[[#This Row],[Total]]</f>
        <v>0.15789473684210525</v>
      </c>
      <c r="N27" s="4">
        <f>Table2[[#This Row],[Orange]]/Table2[[#This Row],[Total]]</f>
        <v>7.0175438596491224E-2</v>
      </c>
      <c r="O27" s="4">
        <f>Table2[[#This Row],[Brown]]/Table2[[#This Row],[Total]]</f>
        <v>0.12280701754385964</v>
      </c>
      <c r="Q27" s="6">
        <f t="shared" si="3"/>
        <v>2.6709517568934693E-4</v>
      </c>
      <c r="R27" s="6">
        <f t="shared" si="4"/>
        <v>0.13</v>
      </c>
      <c r="S27" s="8">
        <f t="shared" si="5"/>
        <v>0.28037126676348562</v>
      </c>
      <c r="T27" s="6">
        <f t="shared" si="6"/>
        <v>4.8903694429011019E-2</v>
      </c>
      <c r="U27" s="6">
        <f t="shared" si="7"/>
        <v>0.24</v>
      </c>
      <c r="V27" s="8">
        <f t="shared" si="8"/>
        <v>0.37988281565831206</v>
      </c>
      <c r="W27" s="6">
        <f t="shared" si="9"/>
        <v>2.135383361833687E-2</v>
      </c>
      <c r="X27" s="6">
        <f t="shared" si="10"/>
        <v>0.16</v>
      </c>
      <c r="Y27" s="8">
        <f t="shared" si="11"/>
        <v>0.32733631994986545</v>
      </c>
      <c r="Z27" s="6">
        <f t="shared" si="12"/>
        <v>2.9218818762108689E-3</v>
      </c>
      <c r="AA27" s="6">
        <f t="shared" si="13"/>
        <v>0.14000000000000001</v>
      </c>
      <c r="AB27" s="8">
        <f t="shared" si="14"/>
        <v>0.28674990373053411</v>
      </c>
      <c r="AC27" s="6">
        <f t="shared" si="15"/>
        <v>2.3728527259920917E-2</v>
      </c>
      <c r="AD27" s="6">
        <f t="shared" si="16"/>
        <v>0.2</v>
      </c>
      <c r="AE27" s="8">
        <f t="shared" si="17"/>
        <v>0.33218836524233741</v>
      </c>
      <c r="AF27" s="6">
        <f t="shared" si="18"/>
        <v>4.8988207055677413E-3</v>
      </c>
      <c r="AG27" s="6">
        <f t="shared" si="19"/>
        <v>0.13</v>
      </c>
      <c r="AH27" s="6">
        <f t="shared" si="20"/>
        <v>0.29139747559072854</v>
      </c>
    </row>
    <row r="28" spans="2:34" x14ac:dyDescent="0.25">
      <c r="B28">
        <v>26</v>
      </c>
      <c r="C28">
        <v>12</v>
      </c>
      <c r="D28">
        <v>11</v>
      </c>
      <c r="E28">
        <v>5</v>
      </c>
      <c r="F28">
        <v>8</v>
      </c>
      <c r="G28">
        <v>12</v>
      </c>
      <c r="H28">
        <v>8</v>
      </c>
      <c r="I28">
        <v>56</v>
      </c>
      <c r="J28" s="4">
        <f>Table2[[#This Row],[Red]]/Table2[[#This Row],[Total]]</f>
        <v>0.21428571428571427</v>
      </c>
      <c r="K28" s="4">
        <f>Table2[[#This Row],[Blue]]/Table2[[#This Row],[Total]]</f>
        <v>0.19642857142857142</v>
      </c>
      <c r="L28" s="4">
        <f>Table2[[#This Row],[Green]]/Table2[[#This Row],[Total]]</f>
        <v>8.9285714285714288E-2</v>
      </c>
      <c r="M28" s="4">
        <f>Table2[[#This Row],[Yellow]]/Table2[[#This Row],[Total]]</f>
        <v>0.14285714285714285</v>
      </c>
      <c r="N28" s="4">
        <f>Table2[[#This Row],[Orange]]/Table2[[#This Row],[Total]]</f>
        <v>0.21428571428571427</v>
      </c>
      <c r="O28" s="4">
        <f>Table2[[#This Row],[Brown]]/Table2[[#This Row],[Total]]</f>
        <v>0.14285714285714285</v>
      </c>
      <c r="Q28" s="6">
        <f t="shared" si="3"/>
        <v>2.6709517568934693E-4</v>
      </c>
      <c r="R28" s="6">
        <f t="shared" si="4"/>
        <v>0.13</v>
      </c>
      <c r="S28" s="8">
        <f t="shared" si="5"/>
        <v>0.28037126676348562</v>
      </c>
      <c r="T28" s="6">
        <f t="shared" si="6"/>
        <v>4.8903694429011019E-2</v>
      </c>
      <c r="U28" s="6">
        <f t="shared" si="7"/>
        <v>0.24</v>
      </c>
      <c r="V28" s="8">
        <f t="shared" si="8"/>
        <v>0.37988281565831206</v>
      </c>
      <c r="W28" s="6">
        <f t="shared" si="9"/>
        <v>2.135383361833687E-2</v>
      </c>
      <c r="X28" s="6">
        <f t="shared" si="10"/>
        <v>0.16</v>
      </c>
      <c r="Y28" s="8">
        <f t="shared" si="11"/>
        <v>0.32733631994986545</v>
      </c>
      <c r="Z28" s="6">
        <f t="shared" si="12"/>
        <v>2.9218818762108689E-3</v>
      </c>
      <c r="AA28" s="6">
        <f t="shared" si="13"/>
        <v>0.14000000000000001</v>
      </c>
      <c r="AB28" s="8">
        <f t="shared" si="14"/>
        <v>0.28674990373053411</v>
      </c>
      <c r="AC28" s="6">
        <f t="shared" si="15"/>
        <v>2.3728527259920917E-2</v>
      </c>
      <c r="AD28" s="6">
        <f t="shared" si="16"/>
        <v>0.2</v>
      </c>
      <c r="AE28" s="8">
        <f t="shared" si="17"/>
        <v>0.33218836524233741</v>
      </c>
      <c r="AF28" s="6">
        <f t="shared" si="18"/>
        <v>4.8988207055677413E-3</v>
      </c>
      <c r="AG28" s="6">
        <f t="shared" si="19"/>
        <v>0.13</v>
      </c>
      <c r="AH28" s="6">
        <f t="shared" si="20"/>
        <v>0.29139747559072854</v>
      </c>
    </row>
    <row r="29" spans="2:34" x14ac:dyDescent="0.25">
      <c r="B29">
        <v>27</v>
      </c>
      <c r="C29">
        <v>8</v>
      </c>
      <c r="D29">
        <v>4</v>
      </c>
      <c r="E29">
        <v>18</v>
      </c>
      <c r="F29">
        <v>7</v>
      </c>
      <c r="G29">
        <v>14</v>
      </c>
      <c r="H29">
        <v>5</v>
      </c>
      <c r="I29">
        <v>56</v>
      </c>
      <c r="J29" s="4">
        <f>Table2[[#This Row],[Red]]/Table2[[#This Row],[Total]]</f>
        <v>0.14285714285714285</v>
      </c>
      <c r="K29" s="4">
        <f>Table2[[#This Row],[Blue]]/Table2[[#This Row],[Total]]</f>
        <v>7.1428571428571425E-2</v>
      </c>
      <c r="L29" s="4">
        <f>Table2[[#This Row],[Green]]/Table2[[#This Row],[Total]]</f>
        <v>0.32142857142857145</v>
      </c>
      <c r="M29" s="4">
        <f>Table2[[#This Row],[Yellow]]/Table2[[#This Row],[Total]]</f>
        <v>0.125</v>
      </c>
      <c r="N29" s="4">
        <f>Table2[[#This Row],[Orange]]/Table2[[#This Row],[Total]]</f>
        <v>0.25</v>
      </c>
      <c r="O29" s="4">
        <f>Table2[[#This Row],[Brown]]/Table2[[#This Row],[Total]]</f>
        <v>8.9285714285714288E-2</v>
      </c>
      <c r="Q29" s="6">
        <f t="shared" si="3"/>
        <v>2.6709517568934693E-4</v>
      </c>
      <c r="R29" s="6">
        <f t="shared" si="4"/>
        <v>0.13</v>
      </c>
      <c r="S29" s="8">
        <f t="shared" si="5"/>
        <v>0.28037126676348562</v>
      </c>
      <c r="T29" s="6">
        <f t="shared" si="6"/>
        <v>4.8903694429011019E-2</v>
      </c>
      <c r="U29" s="6">
        <f t="shared" si="7"/>
        <v>0.24</v>
      </c>
      <c r="V29" s="8">
        <f t="shared" si="8"/>
        <v>0.37988281565831206</v>
      </c>
      <c r="W29" s="6">
        <f t="shared" si="9"/>
        <v>2.135383361833687E-2</v>
      </c>
      <c r="X29" s="6">
        <f t="shared" si="10"/>
        <v>0.16</v>
      </c>
      <c r="Y29" s="8">
        <f t="shared" si="11"/>
        <v>0.32733631994986545</v>
      </c>
      <c r="Z29" s="6">
        <f t="shared" si="12"/>
        <v>2.9218818762108689E-3</v>
      </c>
      <c r="AA29" s="6">
        <f t="shared" si="13"/>
        <v>0.14000000000000001</v>
      </c>
      <c r="AB29" s="8">
        <f t="shared" si="14"/>
        <v>0.28674990373053411</v>
      </c>
      <c r="AC29" s="6">
        <f t="shared" si="15"/>
        <v>2.3728527259920917E-2</v>
      </c>
      <c r="AD29" s="6">
        <f t="shared" si="16"/>
        <v>0.2</v>
      </c>
      <c r="AE29" s="8">
        <f t="shared" si="17"/>
        <v>0.33218836524233741</v>
      </c>
      <c r="AF29" s="6">
        <f t="shared" si="18"/>
        <v>4.8988207055677413E-3</v>
      </c>
      <c r="AG29" s="6">
        <f t="shared" si="19"/>
        <v>0.13</v>
      </c>
      <c r="AH29" s="6">
        <f t="shared" si="20"/>
        <v>0.29139747559072854</v>
      </c>
    </row>
    <row r="30" spans="2:34" x14ac:dyDescent="0.25">
      <c r="B30">
        <v>28</v>
      </c>
      <c r="C30">
        <v>6</v>
      </c>
      <c r="D30">
        <v>9</v>
      </c>
      <c r="E30">
        <v>9</v>
      </c>
      <c r="F30">
        <v>11</v>
      </c>
      <c r="G30">
        <v>9</v>
      </c>
      <c r="H30">
        <v>10</v>
      </c>
      <c r="I30">
        <v>54</v>
      </c>
      <c r="J30" s="4">
        <f>Table2[[#This Row],[Red]]/Table2[[#This Row],[Total]]</f>
        <v>0.1111111111111111</v>
      </c>
      <c r="K30" s="4">
        <f>Table2[[#This Row],[Blue]]/Table2[[#This Row],[Total]]</f>
        <v>0.16666666666666666</v>
      </c>
      <c r="L30" s="4">
        <f>Table2[[#This Row],[Green]]/Table2[[#This Row],[Total]]</f>
        <v>0.16666666666666666</v>
      </c>
      <c r="M30" s="4">
        <f>Table2[[#This Row],[Yellow]]/Table2[[#This Row],[Total]]</f>
        <v>0.20370370370370369</v>
      </c>
      <c r="N30" s="4">
        <f>Table2[[#This Row],[Orange]]/Table2[[#This Row],[Total]]</f>
        <v>0.16666666666666666</v>
      </c>
      <c r="O30" s="4">
        <f>Table2[[#This Row],[Brown]]/Table2[[#This Row],[Total]]</f>
        <v>0.18518518518518517</v>
      </c>
      <c r="Q30" s="6">
        <f t="shared" si="3"/>
        <v>2.6709517568934693E-4</v>
      </c>
      <c r="R30" s="6">
        <f t="shared" si="4"/>
        <v>0.13</v>
      </c>
      <c r="S30" s="8">
        <f t="shared" si="5"/>
        <v>0.28037126676348562</v>
      </c>
      <c r="T30" s="6">
        <f t="shared" si="6"/>
        <v>4.8903694429011019E-2</v>
      </c>
      <c r="U30" s="6">
        <f t="shared" si="7"/>
        <v>0.24</v>
      </c>
      <c r="V30" s="8">
        <f t="shared" si="8"/>
        <v>0.37988281565831206</v>
      </c>
      <c r="W30" s="6">
        <f t="shared" si="9"/>
        <v>2.135383361833687E-2</v>
      </c>
      <c r="X30" s="6">
        <f t="shared" si="10"/>
        <v>0.16</v>
      </c>
      <c r="Y30" s="8">
        <f t="shared" si="11"/>
        <v>0.32733631994986545</v>
      </c>
      <c r="Z30" s="6">
        <f t="shared" si="12"/>
        <v>2.9218818762108689E-3</v>
      </c>
      <c r="AA30" s="6">
        <f t="shared" si="13"/>
        <v>0.14000000000000001</v>
      </c>
      <c r="AB30" s="8">
        <f t="shared" si="14"/>
        <v>0.28674990373053411</v>
      </c>
      <c r="AC30" s="6">
        <f t="shared" si="15"/>
        <v>2.3728527259920917E-2</v>
      </c>
      <c r="AD30" s="6">
        <f t="shared" si="16"/>
        <v>0.2</v>
      </c>
      <c r="AE30" s="8">
        <f t="shared" si="17"/>
        <v>0.33218836524233741</v>
      </c>
      <c r="AF30" s="6">
        <f t="shared" si="18"/>
        <v>4.8988207055677413E-3</v>
      </c>
      <c r="AG30" s="6">
        <f t="shared" si="19"/>
        <v>0.13</v>
      </c>
      <c r="AH30" s="6">
        <f t="shared" si="20"/>
        <v>0.29139747559072854</v>
      </c>
    </row>
    <row r="31" spans="2:34" x14ac:dyDescent="0.25">
      <c r="B31">
        <v>29</v>
      </c>
      <c r="C31">
        <v>5</v>
      </c>
      <c r="D31">
        <v>14</v>
      </c>
      <c r="E31">
        <v>13</v>
      </c>
      <c r="F31">
        <v>10</v>
      </c>
      <c r="G31">
        <v>7</v>
      </c>
      <c r="H31">
        <v>8</v>
      </c>
      <c r="I31">
        <v>57</v>
      </c>
      <c r="J31" s="4">
        <f>Table2[[#This Row],[Red]]/Table2[[#This Row],[Total]]</f>
        <v>8.771929824561403E-2</v>
      </c>
      <c r="K31" s="4">
        <f>Table2[[#This Row],[Blue]]/Table2[[#This Row],[Total]]</f>
        <v>0.24561403508771928</v>
      </c>
      <c r="L31" s="4">
        <f>Table2[[#This Row],[Green]]/Table2[[#This Row],[Total]]</f>
        <v>0.22807017543859648</v>
      </c>
      <c r="M31" s="4">
        <f>Table2[[#This Row],[Yellow]]/Table2[[#This Row],[Total]]</f>
        <v>0.17543859649122806</v>
      </c>
      <c r="N31" s="4">
        <f>Table2[[#This Row],[Orange]]/Table2[[#This Row],[Total]]</f>
        <v>0.12280701754385964</v>
      </c>
      <c r="O31" s="4">
        <f>Table2[[#This Row],[Brown]]/Table2[[#This Row],[Total]]</f>
        <v>0.14035087719298245</v>
      </c>
      <c r="Q31" s="6">
        <f t="shared" si="3"/>
        <v>2.6709517568934693E-4</v>
      </c>
      <c r="R31" s="6">
        <f t="shared" si="4"/>
        <v>0.13</v>
      </c>
      <c r="S31" s="8">
        <f t="shared" si="5"/>
        <v>0.28037126676348562</v>
      </c>
      <c r="T31" s="6">
        <f t="shared" si="6"/>
        <v>4.8903694429011019E-2</v>
      </c>
      <c r="U31" s="6">
        <f t="shared" si="7"/>
        <v>0.24</v>
      </c>
      <c r="V31" s="8">
        <f t="shared" si="8"/>
        <v>0.37988281565831206</v>
      </c>
      <c r="W31" s="6">
        <f t="shared" si="9"/>
        <v>2.135383361833687E-2</v>
      </c>
      <c r="X31" s="6">
        <f t="shared" si="10"/>
        <v>0.16</v>
      </c>
      <c r="Y31" s="8">
        <f t="shared" si="11"/>
        <v>0.32733631994986545</v>
      </c>
      <c r="Z31" s="6">
        <f t="shared" si="12"/>
        <v>2.9218818762108689E-3</v>
      </c>
      <c r="AA31" s="6">
        <f t="shared" si="13"/>
        <v>0.14000000000000001</v>
      </c>
      <c r="AB31" s="8">
        <f t="shared" si="14"/>
        <v>0.28674990373053411</v>
      </c>
      <c r="AC31" s="6">
        <f t="shared" si="15"/>
        <v>2.3728527259920917E-2</v>
      </c>
      <c r="AD31" s="6">
        <f t="shared" si="16"/>
        <v>0.2</v>
      </c>
      <c r="AE31" s="8">
        <f t="shared" si="17"/>
        <v>0.33218836524233741</v>
      </c>
      <c r="AF31" s="6">
        <f t="shared" si="18"/>
        <v>4.8988207055677413E-3</v>
      </c>
      <c r="AG31" s="6">
        <f t="shared" si="19"/>
        <v>0.13</v>
      </c>
      <c r="AH31" s="6">
        <f t="shared" si="20"/>
        <v>0.29139747559072854</v>
      </c>
    </row>
    <row r="32" spans="2:34" x14ac:dyDescent="0.25">
      <c r="B32">
        <v>30</v>
      </c>
      <c r="C32">
        <v>9</v>
      </c>
      <c r="D32">
        <v>13</v>
      </c>
      <c r="E32">
        <v>9</v>
      </c>
      <c r="F32">
        <v>6</v>
      </c>
      <c r="G32">
        <v>10</v>
      </c>
      <c r="H32">
        <v>9</v>
      </c>
      <c r="I32">
        <v>56</v>
      </c>
      <c r="J32" s="4">
        <f>Table2[[#This Row],[Red]]/Table2[[#This Row],[Total]]</f>
        <v>0.16071428571428573</v>
      </c>
      <c r="K32" s="4">
        <f>Table2[[#This Row],[Blue]]/Table2[[#This Row],[Total]]</f>
        <v>0.23214285714285715</v>
      </c>
      <c r="L32" s="4">
        <f>Table2[[#This Row],[Green]]/Table2[[#This Row],[Total]]</f>
        <v>0.16071428571428573</v>
      </c>
      <c r="M32" s="4">
        <f>Table2[[#This Row],[Yellow]]/Table2[[#This Row],[Total]]</f>
        <v>0.10714285714285714</v>
      </c>
      <c r="N32" s="4">
        <f>Table2[[#This Row],[Orange]]/Table2[[#This Row],[Total]]</f>
        <v>0.17857142857142858</v>
      </c>
      <c r="O32" s="4">
        <f>Table2[[#This Row],[Brown]]/Table2[[#This Row],[Total]]</f>
        <v>0.16071428571428573</v>
      </c>
      <c r="Q32" s="6">
        <f t="shared" si="3"/>
        <v>2.6709517568934693E-4</v>
      </c>
      <c r="R32" s="6">
        <f t="shared" si="4"/>
        <v>0.13</v>
      </c>
      <c r="S32" s="8">
        <f t="shared" si="5"/>
        <v>0.28037126676348562</v>
      </c>
      <c r="T32" s="6">
        <f t="shared" si="6"/>
        <v>4.8903694429011019E-2</v>
      </c>
      <c r="U32" s="6">
        <f t="shared" si="7"/>
        <v>0.24</v>
      </c>
      <c r="V32" s="8">
        <f t="shared" si="8"/>
        <v>0.37988281565831206</v>
      </c>
      <c r="W32" s="6">
        <f t="shared" si="9"/>
        <v>2.135383361833687E-2</v>
      </c>
      <c r="X32" s="6">
        <f t="shared" si="10"/>
        <v>0.16</v>
      </c>
      <c r="Y32" s="8">
        <f t="shared" si="11"/>
        <v>0.32733631994986545</v>
      </c>
      <c r="Z32" s="6">
        <f t="shared" si="12"/>
        <v>2.9218818762108689E-3</v>
      </c>
      <c r="AA32" s="6">
        <f t="shared" si="13"/>
        <v>0.14000000000000001</v>
      </c>
      <c r="AB32" s="8">
        <f t="shared" si="14"/>
        <v>0.28674990373053411</v>
      </c>
      <c r="AC32" s="6">
        <f t="shared" si="15"/>
        <v>2.3728527259920917E-2</v>
      </c>
      <c r="AD32" s="6">
        <f t="shared" si="16"/>
        <v>0.2</v>
      </c>
      <c r="AE32" s="8">
        <f t="shared" si="17"/>
        <v>0.33218836524233741</v>
      </c>
      <c r="AF32" s="6">
        <f t="shared" si="18"/>
        <v>4.8988207055677413E-3</v>
      </c>
      <c r="AG32" s="6">
        <f t="shared" si="19"/>
        <v>0.13</v>
      </c>
      <c r="AH32" s="6">
        <f t="shared" si="20"/>
        <v>0.29139747559072854</v>
      </c>
    </row>
    <row r="33" spans="2:34" x14ac:dyDescent="0.25">
      <c r="B33">
        <v>31</v>
      </c>
      <c r="C33">
        <v>12</v>
      </c>
      <c r="D33">
        <v>9</v>
      </c>
      <c r="E33">
        <v>4</v>
      </c>
      <c r="F33">
        <v>11</v>
      </c>
      <c r="G33">
        <v>11</v>
      </c>
      <c r="H33">
        <v>7</v>
      </c>
      <c r="I33">
        <v>54</v>
      </c>
      <c r="J33" s="4">
        <f>Table2[[#This Row],[Red]]/Table2[[#This Row],[Total]]</f>
        <v>0.22222222222222221</v>
      </c>
      <c r="K33" s="4">
        <f>Table2[[#This Row],[Blue]]/Table2[[#This Row],[Total]]</f>
        <v>0.16666666666666666</v>
      </c>
      <c r="L33" s="4">
        <f>Table2[[#This Row],[Green]]/Table2[[#This Row],[Total]]</f>
        <v>7.407407407407407E-2</v>
      </c>
      <c r="M33" s="4">
        <f>Table2[[#This Row],[Yellow]]/Table2[[#This Row],[Total]]</f>
        <v>0.20370370370370369</v>
      </c>
      <c r="N33" s="4">
        <f>Table2[[#This Row],[Orange]]/Table2[[#This Row],[Total]]</f>
        <v>0.20370370370370369</v>
      </c>
      <c r="O33" s="4">
        <f>Table2[[#This Row],[Brown]]/Table2[[#This Row],[Total]]</f>
        <v>0.12962962962962962</v>
      </c>
      <c r="Q33" s="6">
        <f t="shared" si="3"/>
        <v>2.6709517568934693E-4</v>
      </c>
      <c r="R33" s="6">
        <f t="shared" si="4"/>
        <v>0.13</v>
      </c>
      <c r="S33" s="8">
        <f t="shared" si="5"/>
        <v>0.28037126676348562</v>
      </c>
      <c r="T33" s="6">
        <f t="shared" si="6"/>
        <v>4.8903694429011019E-2</v>
      </c>
      <c r="U33" s="6">
        <f t="shared" si="7"/>
        <v>0.24</v>
      </c>
      <c r="V33" s="8">
        <f t="shared" si="8"/>
        <v>0.37988281565831206</v>
      </c>
      <c r="W33" s="6">
        <f t="shared" si="9"/>
        <v>2.135383361833687E-2</v>
      </c>
      <c r="X33" s="6">
        <f t="shared" si="10"/>
        <v>0.16</v>
      </c>
      <c r="Y33" s="8">
        <f t="shared" si="11"/>
        <v>0.32733631994986545</v>
      </c>
      <c r="Z33" s="6">
        <f t="shared" si="12"/>
        <v>2.9218818762108689E-3</v>
      </c>
      <c r="AA33" s="6">
        <f t="shared" si="13"/>
        <v>0.14000000000000001</v>
      </c>
      <c r="AB33" s="8">
        <f t="shared" si="14"/>
        <v>0.28674990373053411</v>
      </c>
      <c r="AC33" s="6">
        <f t="shared" si="15"/>
        <v>2.3728527259920917E-2</v>
      </c>
      <c r="AD33" s="6">
        <f t="shared" si="16"/>
        <v>0.2</v>
      </c>
      <c r="AE33" s="8">
        <f t="shared" si="17"/>
        <v>0.33218836524233741</v>
      </c>
      <c r="AF33" s="6">
        <f t="shared" si="18"/>
        <v>4.8988207055677413E-3</v>
      </c>
      <c r="AG33" s="6">
        <f t="shared" si="19"/>
        <v>0.13</v>
      </c>
      <c r="AH33" s="6">
        <f t="shared" si="20"/>
        <v>0.29139747559072854</v>
      </c>
    </row>
    <row r="34" spans="2:34" x14ac:dyDescent="0.25">
      <c r="B34">
        <v>32</v>
      </c>
      <c r="C34">
        <v>13</v>
      </c>
      <c r="D34">
        <v>11</v>
      </c>
      <c r="E34">
        <v>7</v>
      </c>
      <c r="F34">
        <v>6</v>
      </c>
      <c r="G34">
        <v>9</v>
      </c>
      <c r="H34">
        <v>9</v>
      </c>
      <c r="I34">
        <v>55</v>
      </c>
      <c r="J34" s="4">
        <f>Table2[[#This Row],[Red]]/Table2[[#This Row],[Total]]</f>
        <v>0.23636363636363636</v>
      </c>
      <c r="K34" s="4">
        <f>Table2[[#This Row],[Blue]]/Table2[[#This Row],[Total]]</f>
        <v>0.2</v>
      </c>
      <c r="L34" s="4">
        <f>Table2[[#This Row],[Green]]/Table2[[#This Row],[Total]]</f>
        <v>0.12727272727272726</v>
      </c>
      <c r="M34" s="4">
        <f>Table2[[#This Row],[Yellow]]/Table2[[#This Row],[Total]]</f>
        <v>0.10909090909090909</v>
      </c>
      <c r="N34" s="4">
        <f>Table2[[#This Row],[Orange]]/Table2[[#This Row],[Total]]</f>
        <v>0.16363636363636364</v>
      </c>
      <c r="O34" s="4">
        <f>Table2[[#This Row],[Brown]]/Table2[[#This Row],[Total]]</f>
        <v>0.16363636363636364</v>
      </c>
      <c r="Q34" s="6">
        <f t="shared" si="3"/>
        <v>2.6709517568934693E-4</v>
      </c>
      <c r="R34" s="6">
        <f t="shared" si="4"/>
        <v>0.13</v>
      </c>
      <c r="S34" s="8">
        <f t="shared" si="5"/>
        <v>0.28037126676348562</v>
      </c>
      <c r="T34" s="6">
        <f t="shared" si="6"/>
        <v>4.8903694429011019E-2</v>
      </c>
      <c r="U34" s="6">
        <f t="shared" si="7"/>
        <v>0.24</v>
      </c>
      <c r="V34" s="8">
        <f t="shared" si="8"/>
        <v>0.37988281565831206</v>
      </c>
      <c r="W34" s="6">
        <f t="shared" si="9"/>
        <v>2.135383361833687E-2</v>
      </c>
      <c r="X34" s="6">
        <f t="shared" si="10"/>
        <v>0.16</v>
      </c>
      <c r="Y34" s="8">
        <f t="shared" si="11"/>
        <v>0.32733631994986545</v>
      </c>
      <c r="Z34" s="6">
        <f t="shared" si="12"/>
        <v>2.9218818762108689E-3</v>
      </c>
      <c r="AA34" s="6">
        <f t="shared" si="13"/>
        <v>0.14000000000000001</v>
      </c>
      <c r="AB34" s="8">
        <f t="shared" si="14"/>
        <v>0.28674990373053411</v>
      </c>
      <c r="AC34" s="6">
        <f t="shared" si="15"/>
        <v>2.3728527259920917E-2</v>
      </c>
      <c r="AD34" s="6">
        <f t="shared" si="16"/>
        <v>0.2</v>
      </c>
      <c r="AE34" s="8">
        <f t="shared" si="17"/>
        <v>0.33218836524233741</v>
      </c>
      <c r="AF34" s="6">
        <f t="shared" si="18"/>
        <v>4.8988207055677413E-3</v>
      </c>
      <c r="AG34" s="6">
        <f t="shared" si="19"/>
        <v>0.13</v>
      </c>
      <c r="AH34" s="6">
        <f t="shared" si="20"/>
        <v>0.29139747559072854</v>
      </c>
    </row>
    <row r="35" spans="2:34" x14ac:dyDescent="0.25">
      <c r="B35">
        <v>33</v>
      </c>
      <c r="C35">
        <v>7</v>
      </c>
      <c r="D35">
        <v>14</v>
      </c>
      <c r="E35">
        <v>9</v>
      </c>
      <c r="F35">
        <v>10</v>
      </c>
      <c r="G35">
        <v>9</v>
      </c>
      <c r="H35">
        <v>8</v>
      </c>
      <c r="I35">
        <v>57</v>
      </c>
      <c r="J35" s="4">
        <f>Table2[[#This Row],[Red]]/Table2[[#This Row],[Total]]</f>
        <v>0.12280701754385964</v>
      </c>
      <c r="K35" s="4">
        <f>Table2[[#This Row],[Blue]]/Table2[[#This Row],[Total]]</f>
        <v>0.24561403508771928</v>
      </c>
      <c r="L35" s="4">
        <f>Table2[[#This Row],[Green]]/Table2[[#This Row],[Total]]</f>
        <v>0.15789473684210525</v>
      </c>
      <c r="M35" s="4">
        <f>Table2[[#This Row],[Yellow]]/Table2[[#This Row],[Total]]</f>
        <v>0.17543859649122806</v>
      </c>
      <c r="N35" s="4">
        <f>Table2[[#This Row],[Orange]]/Table2[[#This Row],[Total]]</f>
        <v>0.15789473684210525</v>
      </c>
      <c r="O35" s="4">
        <f>Table2[[#This Row],[Brown]]/Table2[[#This Row],[Total]]</f>
        <v>0.14035087719298245</v>
      </c>
      <c r="Q35" s="6">
        <f t="shared" si="3"/>
        <v>2.6709517568934693E-4</v>
      </c>
      <c r="R35" s="6">
        <f t="shared" si="4"/>
        <v>0.13</v>
      </c>
      <c r="S35" s="8">
        <f t="shared" si="5"/>
        <v>0.28037126676348562</v>
      </c>
      <c r="T35" s="6">
        <f t="shared" si="6"/>
        <v>4.8903694429011019E-2</v>
      </c>
      <c r="U35" s="6">
        <f t="shared" si="7"/>
        <v>0.24</v>
      </c>
      <c r="V35" s="8">
        <f t="shared" si="8"/>
        <v>0.37988281565831206</v>
      </c>
      <c r="W35" s="6">
        <f t="shared" si="9"/>
        <v>2.135383361833687E-2</v>
      </c>
      <c r="X35" s="6">
        <f t="shared" si="10"/>
        <v>0.16</v>
      </c>
      <c r="Y35" s="8">
        <f t="shared" si="11"/>
        <v>0.32733631994986545</v>
      </c>
      <c r="Z35" s="6">
        <f t="shared" si="12"/>
        <v>2.9218818762108689E-3</v>
      </c>
      <c r="AA35" s="6">
        <f t="shared" si="13"/>
        <v>0.14000000000000001</v>
      </c>
      <c r="AB35" s="8">
        <f t="shared" si="14"/>
        <v>0.28674990373053411</v>
      </c>
      <c r="AC35" s="6">
        <f t="shared" si="15"/>
        <v>2.3728527259920917E-2</v>
      </c>
      <c r="AD35" s="6">
        <f t="shared" si="16"/>
        <v>0.2</v>
      </c>
      <c r="AE35" s="8">
        <f t="shared" si="17"/>
        <v>0.33218836524233741</v>
      </c>
      <c r="AF35" s="6">
        <f t="shared" si="18"/>
        <v>4.8988207055677413E-3</v>
      </c>
      <c r="AG35" s="6">
        <f t="shared" si="19"/>
        <v>0.13</v>
      </c>
      <c r="AH35" s="6">
        <f t="shared" si="20"/>
        <v>0.29139747559072854</v>
      </c>
    </row>
    <row r="36" spans="2:34" x14ac:dyDescent="0.25">
      <c r="B36">
        <v>34</v>
      </c>
      <c r="C36">
        <v>11</v>
      </c>
      <c r="D36">
        <v>15</v>
      </c>
      <c r="E36">
        <v>5</v>
      </c>
      <c r="F36">
        <v>9</v>
      </c>
      <c r="G36">
        <v>9</v>
      </c>
      <c r="H36">
        <v>6</v>
      </c>
      <c r="I36">
        <v>55</v>
      </c>
      <c r="J36" s="4">
        <f>Table2[[#This Row],[Red]]/Table2[[#This Row],[Total]]</f>
        <v>0.2</v>
      </c>
      <c r="K36" s="4">
        <f>Table2[[#This Row],[Blue]]/Table2[[#This Row],[Total]]</f>
        <v>0.27272727272727271</v>
      </c>
      <c r="L36" s="4">
        <f>Table2[[#This Row],[Green]]/Table2[[#This Row],[Total]]</f>
        <v>9.0909090909090912E-2</v>
      </c>
      <c r="M36" s="4">
        <f>Table2[[#This Row],[Yellow]]/Table2[[#This Row],[Total]]</f>
        <v>0.16363636363636364</v>
      </c>
      <c r="N36" s="4">
        <f>Table2[[#This Row],[Orange]]/Table2[[#This Row],[Total]]</f>
        <v>0.16363636363636364</v>
      </c>
      <c r="O36" s="4">
        <f>Table2[[#This Row],[Brown]]/Table2[[#This Row],[Total]]</f>
        <v>0.10909090909090909</v>
      </c>
      <c r="Q36" s="6">
        <f t="shared" si="3"/>
        <v>2.6709517568934693E-4</v>
      </c>
      <c r="R36" s="6">
        <f t="shared" si="4"/>
        <v>0.13</v>
      </c>
      <c r="S36" s="8">
        <f t="shared" si="5"/>
        <v>0.28037126676348562</v>
      </c>
      <c r="T36" s="6">
        <f t="shared" si="6"/>
        <v>4.8903694429011019E-2</v>
      </c>
      <c r="U36" s="6">
        <f t="shared" si="7"/>
        <v>0.24</v>
      </c>
      <c r="V36" s="8">
        <f t="shared" si="8"/>
        <v>0.37988281565831206</v>
      </c>
      <c r="W36" s="6">
        <f t="shared" si="9"/>
        <v>2.135383361833687E-2</v>
      </c>
      <c r="X36" s="6">
        <f t="shared" si="10"/>
        <v>0.16</v>
      </c>
      <c r="Y36" s="8">
        <f t="shared" si="11"/>
        <v>0.32733631994986545</v>
      </c>
      <c r="Z36" s="6">
        <f t="shared" si="12"/>
        <v>2.9218818762108689E-3</v>
      </c>
      <c r="AA36" s="6">
        <f t="shared" si="13"/>
        <v>0.14000000000000001</v>
      </c>
      <c r="AB36" s="8">
        <f t="shared" si="14"/>
        <v>0.28674990373053411</v>
      </c>
      <c r="AC36" s="6">
        <f t="shared" si="15"/>
        <v>2.3728527259920917E-2</v>
      </c>
      <c r="AD36" s="6">
        <f t="shared" si="16"/>
        <v>0.2</v>
      </c>
      <c r="AE36" s="8">
        <f t="shared" si="17"/>
        <v>0.33218836524233741</v>
      </c>
      <c r="AF36" s="6">
        <f t="shared" si="18"/>
        <v>4.8988207055677413E-3</v>
      </c>
      <c r="AG36" s="6">
        <f t="shared" si="19"/>
        <v>0.13</v>
      </c>
      <c r="AH36" s="6">
        <f t="shared" si="20"/>
        <v>0.29139747559072854</v>
      </c>
    </row>
    <row r="37" spans="2:34" x14ac:dyDescent="0.25">
      <c r="B37">
        <v>35</v>
      </c>
      <c r="C37">
        <v>8</v>
      </c>
      <c r="D37">
        <v>19</v>
      </c>
      <c r="E37">
        <v>6</v>
      </c>
      <c r="F37">
        <v>7</v>
      </c>
      <c r="G37">
        <v>8</v>
      </c>
      <c r="H37">
        <v>7</v>
      </c>
      <c r="I37">
        <v>55</v>
      </c>
      <c r="J37" s="4">
        <f>Table2[[#This Row],[Red]]/Table2[[#This Row],[Total]]</f>
        <v>0.14545454545454545</v>
      </c>
      <c r="K37" s="4">
        <f>Table2[[#This Row],[Blue]]/Table2[[#This Row],[Total]]</f>
        <v>0.34545454545454546</v>
      </c>
      <c r="L37" s="4">
        <f>Table2[[#This Row],[Green]]/Table2[[#This Row],[Total]]</f>
        <v>0.10909090909090909</v>
      </c>
      <c r="M37" s="4">
        <f>Table2[[#This Row],[Yellow]]/Table2[[#This Row],[Total]]</f>
        <v>0.12727272727272726</v>
      </c>
      <c r="N37" s="4">
        <f>Table2[[#This Row],[Orange]]/Table2[[#This Row],[Total]]</f>
        <v>0.14545454545454545</v>
      </c>
      <c r="O37" s="4">
        <f>Table2[[#This Row],[Brown]]/Table2[[#This Row],[Total]]</f>
        <v>0.12727272727272726</v>
      </c>
      <c r="Q37" s="6">
        <f t="shared" si="3"/>
        <v>2.6709517568934693E-4</v>
      </c>
      <c r="R37" s="6">
        <f t="shared" si="4"/>
        <v>0.13</v>
      </c>
      <c r="S37" s="8">
        <f t="shared" si="5"/>
        <v>0.28037126676348562</v>
      </c>
      <c r="T37" s="6">
        <f t="shared" si="6"/>
        <v>4.8903694429011019E-2</v>
      </c>
      <c r="U37" s="6">
        <f t="shared" si="7"/>
        <v>0.24</v>
      </c>
      <c r="V37" s="8">
        <f t="shared" si="8"/>
        <v>0.37988281565831206</v>
      </c>
      <c r="W37" s="6">
        <f t="shared" si="9"/>
        <v>2.135383361833687E-2</v>
      </c>
      <c r="X37" s="6">
        <f t="shared" si="10"/>
        <v>0.16</v>
      </c>
      <c r="Y37" s="8">
        <f t="shared" si="11"/>
        <v>0.32733631994986545</v>
      </c>
      <c r="Z37" s="6">
        <f t="shared" si="12"/>
        <v>2.9218818762108689E-3</v>
      </c>
      <c r="AA37" s="6">
        <f t="shared" si="13"/>
        <v>0.14000000000000001</v>
      </c>
      <c r="AB37" s="8">
        <f t="shared" si="14"/>
        <v>0.28674990373053411</v>
      </c>
      <c r="AC37" s="6">
        <f t="shared" si="15"/>
        <v>2.3728527259920917E-2</v>
      </c>
      <c r="AD37" s="6">
        <f t="shared" si="16"/>
        <v>0.2</v>
      </c>
      <c r="AE37" s="8">
        <f t="shared" si="17"/>
        <v>0.33218836524233741</v>
      </c>
      <c r="AF37" s="6">
        <f t="shared" si="18"/>
        <v>4.8988207055677413E-3</v>
      </c>
      <c r="AG37" s="6">
        <f t="shared" si="19"/>
        <v>0.13</v>
      </c>
      <c r="AH37" s="6">
        <f t="shared" si="20"/>
        <v>0.29139747559072854</v>
      </c>
    </row>
    <row r="38" spans="2:34" x14ac:dyDescent="0.25">
      <c r="B38">
        <v>36</v>
      </c>
      <c r="C38">
        <v>11</v>
      </c>
      <c r="D38">
        <v>10</v>
      </c>
      <c r="E38">
        <v>10</v>
      </c>
      <c r="F38">
        <v>8</v>
      </c>
      <c r="G38">
        <v>7</v>
      </c>
      <c r="H38">
        <v>10</v>
      </c>
      <c r="I38">
        <v>56</v>
      </c>
      <c r="J38" s="4">
        <f>Table2[[#This Row],[Red]]/Table2[[#This Row],[Total]]</f>
        <v>0.19642857142857142</v>
      </c>
      <c r="K38" s="4">
        <f>Table2[[#This Row],[Blue]]/Table2[[#This Row],[Total]]</f>
        <v>0.17857142857142858</v>
      </c>
      <c r="L38" s="4">
        <f>Table2[[#This Row],[Green]]/Table2[[#This Row],[Total]]</f>
        <v>0.17857142857142858</v>
      </c>
      <c r="M38" s="4">
        <f>Table2[[#This Row],[Yellow]]/Table2[[#This Row],[Total]]</f>
        <v>0.14285714285714285</v>
      </c>
      <c r="N38" s="4">
        <f>Table2[[#This Row],[Orange]]/Table2[[#This Row],[Total]]</f>
        <v>0.125</v>
      </c>
      <c r="O38" s="4">
        <f>Table2[[#This Row],[Brown]]/Table2[[#This Row],[Total]]</f>
        <v>0.17857142857142858</v>
      </c>
      <c r="Q38" s="6">
        <f t="shared" si="3"/>
        <v>2.6709517568934693E-4</v>
      </c>
      <c r="R38" s="6">
        <f t="shared" si="4"/>
        <v>0.13</v>
      </c>
      <c r="S38" s="8">
        <f t="shared" si="5"/>
        <v>0.28037126676348562</v>
      </c>
      <c r="T38" s="6">
        <f t="shared" si="6"/>
        <v>4.8903694429011019E-2</v>
      </c>
      <c r="U38" s="6">
        <f t="shared" si="7"/>
        <v>0.24</v>
      </c>
      <c r="V38" s="8">
        <f t="shared" si="8"/>
        <v>0.37988281565831206</v>
      </c>
      <c r="W38" s="6">
        <f t="shared" si="9"/>
        <v>2.135383361833687E-2</v>
      </c>
      <c r="X38" s="6">
        <f t="shared" si="10"/>
        <v>0.16</v>
      </c>
      <c r="Y38" s="8">
        <f t="shared" si="11"/>
        <v>0.32733631994986545</v>
      </c>
      <c r="Z38" s="6">
        <f t="shared" si="12"/>
        <v>2.9218818762108689E-3</v>
      </c>
      <c r="AA38" s="6">
        <f t="shared" si="13"/>
        <v>0.14000000000000001</v>
      </c>
      <c r="AB38" s="8">
        <f t="shared" si="14"/>
        <v>0.28674990373053411</v>
      </c>
      <c r="AC38" s="6">
        <f t="shared" si="15"/>
        <v>2.3728527259920917E-2</v>
      </c>
      <c r="AD38" s="6">
        <f t="shared" si="16"/>
        <v>0.2</v>
      </c>
      <c r="AE38" s="8">
        <f t="shared" si="17"/>
        <v>0.33218836524233741</v>
      </c>
      <c r="AF38" s="6">
        <f t="shared" si="18"/>
        <v>4.8988207055677413E-3</v>
      </c>
      <c r="AG38" s="6">
        <f t="shared" si="19"/>
        <v>0.13</v>
      </c>
      <c r="AH38" s="6">
        <f t="shared" si="20"/>
        <v>0.29139747559072854</v>
      </c>
    </row>
    <row r="39" spans="2:34" x14ac:dyDescent="0.25">
      <c r="B39">
        <v>37</v>
      </c>
      <c r="C39">
        <v>7</v>
      </c>
      <c r="D39">
        <v>17</v>
      </c>
      <c r="E39">
        <v>10</v>
      </c>
      <c r="F39">
        <v>8</v>
      </c>
      <c r="G39">
        <v>5</v>
      </c>
      <c r="H39">
        <v>8</v>
      </c>
      <c r="I39">
        <v>55</v>
      </c>
      <c r="J39" s="4">
        <f>Table2[[#This Row],[Red]]/Table2[[#This Row],[Total]]</f>
        <v>0.12727272727272726</v>
      </c>
      <c r="K39" s="4">
        <f>Table2[[#This Row],[Blue]]/Table2[[#This Row],[Total]]</f>
        <v>0.30909090909090908</v>
      </c>
      <c r="L39" s="4">
        <f>Table2[[#This Row],[Green]]/Table2[[#This Row],[Total]]</f>
        <v>0.18181818181818182</v>
      </c>
      <c r="M39" s="4">
        <f>Table2[[#This Row],[Yellow]]/Table2[[#This Row],[Total]]</f>
        <v>0.14545454545454545</v>
      </c>
      <c r="N39" s="4">
        <f>Table2[[#This Row],[Orange]]/Table2[[#This Row],[Total]]</f>
        <v>9.0909090909090912E-2</v>
      </c>
      <c r="O39" s="4">
        <f>Table2[[#This Row],[Brown]]/Table2[[#This Row],[Total]]</f>
        <v>0.14545454545454545</v>
      </c>
      <c r="Q39" s="6">
        <f t="shared" si="3"/>
        <v>2.6709517568934693E-4</v>
      </c>
      <c r="R39" s="6">
        <f t="shared" si="4"/>
        <v>0.13</v>
      </c>
      <c r="S39" s="8">
        <f t="shared" si="5"/>
        <v>0.28037126676348562</v>
      </c>
      <c r="T39" s="6">
        <f t="shared" si="6"/>
        <v>4.8903694429011019E-2</v>
      </c>
      <c r="U39" s="6">
        <f t="shared" si="7"/>
        <v>0.24</v>
      </c>
      <c r="V39" s="8">
        <f t="shared" si="8"/>
        <v>0.37988281565831206</v>
      </c>
      <c r="W39" s="6">
        <f t="shared" si="9"/>
        <v>2.135383361833687E-2</v>
      </c>
      <c r="X39" s="6">
        <f t="shared" si="10"/>
        <v>0.16</v>
      </c>
      <c r="Y39" s="8">
        <f t="shared" si="11"/>
        <v>0.32733631994986545</v>
      </c>
      <c r="Z39" s="6">
        <f t="shared" si="12"/>
        <v>2.9218818762108689E-3</v>
      </c>
      <c r="AA39" s="6">
        <f t="shared" si="13"/>
        <v>0.14000000000000001</v>
      </c>
      <c r="AB39" s="8">
        <f t="shared" si="14"/>
        <v>0.28674990373053411</v>
      </c>
      <c r="AC39" s="6">
        <f t="shared" si="15"/>
        <v>2.3728527259920917E-2</v>
      </c>
      <c r="AD39" s="6">
        <f t="shared" si="16"/>
        <v>0.2</v>
      </c>
      <c r="AE39" s="8">
        <f t="shared" si="17"/>
        <v>0.33218836524233741</v>
      </c>
      <c r="AF39" s="6">
        <f t="shared" si="18"/>
        <v>4.8988207055677413E-3</v>
      </c>
      <c r="AG39" s="6">
        <f t="shared" si="19"/>
        <v>0.13</v>
      </c>
      <c r="AH39" s="6">
        <f t="shared" si="20"/>
        <v>0.29139747559072854</v>
      </c>
    </row>
    <row r="40" spans="2:34" x14ac:dyDescent="0.25">
      <c r="B40">
        <v>38</v>
      </c>
      <c r="C40">
        <v>8</v>
      </c>
      <c r="D40">
        <v>14</v>
      </c>
      <c r="E40">
        <v>8</v>
      </c>
      <c r="F40">
        <v>7</v>
      </c>
      <c r="G40">
        <v>7</v>
      </c>
      <c r="H40">
        <v>11</v>
      </c>
      <c r="I40">
        <v>55</v>
      </c>
      <c r="J40" s="4">
        <f>Table2[[#This Row],[Red]]/Table2[[#This Row],[Total]]</f>
        <v>0.14545454545454545</v>
      </c>
      <c r="K40" s="4">
        <f>Table2[[#This Row],[Blue]]/Table2[[#This Row],[Total]]</f>
        <v>0.25454545454545452</v>
      </c>
      <c r="L40" s="4">
        <f>Table2[[#This Row],[Green]]/Table2[[#This Row],[Total]]</f>
        <v>0.14545454545454545</v>
      </c>
      <c r="M40" s="4">
        <f>Table2[[#This Row],[Yellow]]/Table2[[#This Row],[Total]]</f>
        <v>0.12727272727272726</v>
      </c>
      <c r="N40" s="4">
        <f>Table2[[#This Row],[Orange]]/Table2[[#This Row],[Total]]</f>
        <v>0.12727272727272726</v>
      </c>
      <c r="O40" s="4">
        <f>Table2[[#This Row],[Brown]]/Table2[[#This Row],[Total]]</f>
        <v>0.2</v>
      </c>
      <c r="Q40" s="6">
        <f t="shared" si="3"/>
        <v>2.6709517568934693E-4</v>
      </c>
      <c r="R40" s="6">
        <f t="shared" si="4"/>
        <v>0.13</v>
      </c>
      <c r="S40" s="8">
        <f t="shared" si="5"/>
        <v>0.28037126676348562</v>
      </c>
      <c r="T40" s="6">
        <f t="shared" si="6"/>
        <v>4.8903694429011019E-2</v>
      </c>
      <c r="U40" s="6">
        <f t="shared" si="7"/>
        <v>0.24</v>
      </c>
      <c r="V40" s="8">
        <f t="shared" si="8"/>
        <v>0.37988281565831206</v>
      </c>
      <c r="W40" s="6">
        <f t="shared" si="9"/>
        <v>2.135383361833687E-2</v>
      </c>
      <c r="X40" s="6">
        <f t="shared" si="10"/>
        <v>0.16</v>
      </c>
      <c r="Y40" s="8">
        <f t="shared" si="11"/>
        <v>0.32733631994986545</v>
      </c>
      <c r="Z40" s="6">
        <f t="shared" si="12"/>
        <v>2.9218818762108689E-3</v>
      </c>
      <c r="AA40" s="6">
        <f t="shared" si="13"/>
        <v>0.14000000000000001</v>
      </c>
      <c r="AB40" s="8">
        <f t="shared" si="14"/>
        <v>0.28674990373053411</v>
      </c>
      <c r="AC40" s="6">
        <f t="shared" si="15"/>
        <v>2.3728527259920917E-2</v>
      </c>
      <c r="AD40" s="6">
        <f t="shared" si="16"/>
        <v>0.2</v>
      </c>
      <c r="AE40" s="8">
        <f t="shared" si="17"/>
        <v>0.33218836524233741</v>
      </c>
      <c r="AF40" s="6">
        <f t="shared" si="18"/>
        <v>4.8988207055677413E-3</v>
      </c>
      <c r="AG40" s="6">
        <f t="shared" si="19"/>
        <v>0.13</v>
      </c>
      <c r="AH40" s="6">
        <f t="shared" si="20"/>
        <v>0.29139747559072854</v>
      </c>
    </row>
    <row r="41" spans="2:34" x14ac:dyDescent="0.25">
      <c r="B41">
        <v>39</v>
      </c>
      <c r="C41">
        <v>9</v>
      </c>
      <c r="D41">
        <v>15</v>
      </c>
      <c r="E41">
        <v>9</v>
      </c>
      <c r="F41">
        <v>7</v>
      </c>
      <c r="G41">
        <v>9</v>
      </c>
      <c r="H41">
        <v>8</v>
      </c>
      <c r="I41">
        <v>57</v>
      </c>
      <c r="J41" s="4">
        <f>Table2[[#This Row],[Red]]/Table2[[#This Row],[Total]]</f>
        <v>0.15789473684210525</v>
      </c>
      <c r="K41" s="4">
        <f>Table2[[#This Row],[Blue]]/Table2[[#This Row],[Total]]</f>
        <v>0.26315789473684209</v>
      </c>
      <c r="L41" s="4">
        <f>Table2[[#This Row],[Green]]/Table2[[#This Row],[Total]]</f>
        <v>0.15789473684210525</v>
      </c>
      <c r="M41" s="4">
        <f>Table2[[#This Row],[Yellow]]/Table2[[#This Row],[Total]]</f>
        <v>0.12280701754385964</v>
      </c>
      <c r="N41" s="4">
        <f>Table2[[#This Row],[Orange]]/Table2[[#This Row],[Total]]</f>
        <v>0.15789473684210525</v>
      </c>
      <c r="O41" s="4">
        <f>Table2[[#This Row],[Brown]]/Table2[[#This Row],[Total]]</f>
        <v>0.14035087719298245</v>
      </c>
      <c r="Q41" s="6">
        <f t="shared" si="3"/>
        <v>2.6709517568934693E-4</v>
      </c>
      <c r="R41" s="6">
        <f t="shared" si="4"/>
        <v>0.13</v>
      </c>
      <c r="S41" s="8">
        <f t="shared" si="5"/>
        <v>0.28037126676348562</v>
      </c>
      <c r="T41" s="6">
        <f t="shared" si="6"/>
        <v>4.8903694429011019E-2</v>
      </c>
      <c r="U41" s="6">
        <f t="shared" si="7"/>
        <v>0.24</v>
      </c>
      <c r="V41" s="8">
        <f t="shared" si="8"/>
        <v>0.37988281565831206</v>
      </c>
      <c r="W41" s="6">
        <f t="shared" si="9"/>
        <v>2.135383361833687E-2</v>
      </c>
      <c r="X41" s="6">
        <f t="shared" si="10"/>
        <v>0.16</v>
      </c>
      <c r="Y41" s="8">
        <f t="shared" si="11"/>
        <v>0.32733631994986545</v>
      </c>
      <c r="Z41" s="6">
        <f t="shared" si="12"/>
        <v>2.9218818762108689E-3</v>
      </c>
      <c r="AA41" s="6">
        <f t="shared" si="13"/>
        <v>0.14000000000000001</v>
      </c>
      <c r="AB41" s="8">
        <f t="shared" si="14"/>
        <v>0.28674990373053411</v>
      </c>
      <c r="AC41" s="6">
        <f t="shared" si="15"/>
        <v>2.3728527259920917E-2</v>
      </c>
      <c r="AD41" s="6">
        <f t="shared" si="16"/>
        <v>0.2</v>
      </c>
      <c r="AE41" s="8">
        <f t="shared" si="17"/>
        <v>0.33218836524233741</v>
      </c>
      <c r="AF41" s="6">
        <f t="shared" si="18"/>
        <v>4.8988207055677413E-3</v>
      </c>
      <c r="AG41" s="6">
        <f t="shared" si="19"/>
        <v>0.13</v>
      </c>
      <c r="AH41" s="6">
        <f t="shared" si="20"/>
        <v>0.29139747559072854</v>
      </c>
    </row>
    <row r="42" spans="2:34" x14ac:dyDescent="0.25">
      <c r="B42">
        <v>40</v>
      </c>
      <c r="C42">
        <v>2</v>
      </c>
      <c r="D42">
        <v>15</v>
      </c>
      <c r="E42">
        <v>12</v>
      </c>
      <c r="F42">
        <v>11</v>
      </c>
      <c r="G42">
        <v>8</v>
      </c>
      <c r="H42">
        <v>8</v>
      </c>
      <c r="I42">
        <v>56</v>
      </c>
      <c r="J42" s="4">
        <f>Table2[[#This Row],[Red]]/Table2[[#This Row],[Total]]</f>
        <v>3.5714285714285712E-2</v>
      </c>
      <c r="K42" s="4">
        <f>Table2[[#This Row],[Blue]]/Table2[[#This Row],[Total]]</f>
        <v>0.26785714285714285</v>
      </c>
      <c r="L42" s="4">
        <f>Table2[[#This Row],[Green]]/Table2[[#This Row],[Total]]</f>
        <v>0.21428571428571427</v>
      </c>
      <c r="M42" s="4">
        <f>Table2[[#This Row],[Yellow]]/Table2[[#This Row],[Total]]</f>
        <v>0.19642857142857142</v>
      </c>
      <c r="N42" s="4">
        <f>Table2[[#This Row],[Orange]]/Table2[[#This Row],[Total]]</f>
        <v>0.14285714285714285</v>
      </c>
      <c r="O42" s="4">
        <f>Table2[[#This Row],[Brown]]/Table2[[#This Row],[Total]]</f>
        <v>0.14285714285714285</v>
      </c>
      <c r="Q42" s="6">
        <f t="shared" si="3"/>
        <v>2.6709517568934693E-4</v>
      </c>
      <c r="R42" s="6">
        <f t="shared" si="4"/>
        <v>0.13</v>
      </c>
      <c r="S42" s="8">
        <f t="shared" si="5"/>
        <v>0.28037126676348562</v>
      </c>
      <c r="T42" s="6">
        <f t="shared" si="6"/>
        <v>4.8903694429011019E-2</v>
      </c>
      <c r="U42" s="6">
        <f t="shared" si="7"/>
        <v>0.24</v>
      </c>
      <c r="V42" s="8">
        <f t="shared" si="8"/>
        <v>0.37988281565831206</v>
      </c>
      <c r="W42" s="6">
        <f t="shared" si="9"/>
        <v>2.135383361833687E-2</v>
      </c>
      <c r="X42" s="6">
        <f t="shared" si="10"/>
        <v>0.16</v>
      </c>
      <c r="Y42" s="8">
        <f t="shared" si="11"/>
        <v>0.32733631994986545</v>
      </c>
      <c r="Z42" s="6">
        <f t="shared" si="12"/>
        <v>2.9218818762108689E-3</v>
      </c>
      <c r="AA42" s="6">
        <f t="shared" si="13"/>
        <v>0.14000000000000001</v>
      </c>
      <c r="AB42" s="8">
        <f t="shared" si="14"/>
        <v>0.28674990373053411</v>
      </c>
      <c r="AC42" s="6">
        <f t="shared" si="15"/>
        <v>2.3728527259920917E-2</v>
      </c>
      <c r="AD42" s="6">
        <f t="shared" si="16"/>
        <v>0.2</v>
      </c>
      <c r="AE42" s="8">
        <f t="shared" si="17"/>
        <v>0.33218836524233741</v>
      </c>
      <c r="AF42" s="6">
        <f t="shared" si="18"/>
        <v>4.8988207055677413E-3</v>
      </c>
      <c r="AG42" s="6">
        <f t="shared" si="19"/>
        <v>0.13</v>
      </c>
      <c r="AH42" s="6">
        <f t="shared" si="20"/>
        <v>0.29139747559072854</v>
      </c>
    </row>
    <row r="43" spans="2:34" x14ac:dyDescent="0.25">
      <c r="B43">
        <v>41</v>
      </c>
      <c r="C43">
        <v>13</v>
      </c>
      <c r="D43">
        <v>9</v>
      </c>
      <c r="E43">
        <v>7</v>
      </c>
      <c r="F43">
        <v>10</v>
      </c>
      <c r="G43">
        <v>11</v>
      </c>
      <c r="H43">
        <v>4</v>
      </c>
      <c r="I43">
        <v>54</v>
      </c>
      <c r="J43" s="4">
        <f>Table2[[#This Row],[Red]]/Table2[[#This Row],[Total]]</f>
        <v>0.24074074074074073</v>
      </c>
      <c r="K43" s="4">
        <f>Table2[[#This Row],[Blue]]/Table2[[#This Row],[Total]]</f>
        <v>0.16666666666666666</v>
      </c>
      <c r="L43" s="4">
        <f>Table2[[#This Row],[Green]]/Table2[[#This Row],[Total]]</f>
        <v>0.12962962962962962</v>
      </c>
      <c r="M43" s="4">
        <f>Table2[[#This Row],[Yellow]]/Table2[[#This Row],[Total]]</f>
        <v>0.18518518518518517</v>
      </c>
      <c r="N43" s="4">
        <f>Table2[[#This Row],[Orange]]/Table2[[#This Row],[Total]]</f>
        <v>0.20370370370370369</v>
      </c>
      <c r="O43" s="4">
        <f>Table2[[#This Row],[Brown]]/Table2[[#This Row],[Total]]</f>
        <v>7.407407407407407E-2</v>
      </c>
      <c r="Q43" s="6">
        <f t="shared" si="3"/>
        <v>2.6709517568934693E-4</v>
      </c>
      <c r="R43" s="6">
        <f t="shared" si="4"/>
        <v>0.13</v>
      </c>
      <c r="S43" s="8">
        <f t="shared" si="5"/>
        <v>0.28037126676348562</v>
      </c>
      <c r="T43" s="6">
        <f t="shared" si="6"/>
        <v>4.8903694429011019E-2</v>
      </c>
      <c r="U43" s="6">
        <f t="shared" si="7"/>
        <v>0.24</v>
      </c>
      <c r="V43" s="8">
        <f t="shared" si="8"/>
        <v>0.37988281565831206</v>
      </c>
      <c r="W43" s="6">
        <f t="shared" si="9"/>
        <v>2.135383361833687E-2</v>
      </c>
      <c r="X43" s="6">
        <f t="shared" si="10"/>
        <v>0.16</v>
      </c>
      <c r="Y43" s="8">
        <f t="shared" si="11"/>
        <v>0.32733631994986545</v>
      </c>
      <c r="Z43" s="6">
        <f t="shared" si="12"/>
        <v>2.9218818762108689E-3</v>
      </c>
      <c r="AA43" s="6">
        <f t="shared" si="13"/>
        <v>0.14000000000000001</v>
      </c>
      <c r="AB43" s="8">
        <f t="shared" si="14"/>
        <v>0.28674990373053411</v>
      </c>
      <c r="AC43" s="6">
        <f t="shared" si="15"/>
        <v>2.3728527259920917E-2</v>
      </c>
      <c r="AD43" s="6">
        <f t="shared" si="16"/>
        <v>0.2</v>
      </c>
      <c r="AE43" s="8">
        <f t="shared" si="17"/>
        <v>0.33218836524233741</v>
      </c>
      <c r="AF43" s="6">
        <f t="shared" si="18"/>
        <v>4.8988207055677413E-3</v>
      </c>
      <c r="AG43" s="6">
        <f t="shared" si="19"/>
        <v>0.13</v>
      </c>
      <c r="AH43" s="6">
        <f t="shared" si="20"/>
        <v>0.29139747559072854</v>
      </c>
    </row>
    <row r="44" spans="2:34" x14ac:dyDescent="0.25">
      <c r="B44">
        <v>42</v>
      </c>
      <c r="C44">
        <v>9</v>
      </c>
      <c r="D44">
        <v>11</v>
      </c>
      <c r="E44">
        <v>9</v>
      </c>
      <c r="F44">
        <v>11</v>
      </c>
      <c r="G44">
        <v>7</v>
      </c>
      <c r="H44">
        <v>8</v>
      </c>
      <c r="I44">
        <v>55</v>
      </c>
      <c r="J44" s="4">
        <f>Table2[[#This Row],[Red]]/Table2[[#This Row],[Total]]</f>
        <v>0.16363636363636364</v>
      </c>
      <c r="K44" s="4">
        <f>Table2[[#This Row],[Blue]]/Table2[[#This Row],[Total]]</f>
        <v>0.2</v>
      </c>
      <c r="L44" s="4">
        <f>Table2[[#This Row],[Green]]/Table2[[#This Row],[Total]]</f>
        <v>0.16363636363636364</v>
      </c>
      <c r="M44" s="4">
        <f>Table2[[#This Row],[Yellow]]/Table2[[#This Row],[Total]]</f>
        <v>0.2</v>
      </c>
      <c r="N44" s="4">
        <f>Table2[[#This Row],[Orange]]/Table2[[#This Row],[Total]]</f>
        <v>0.12727272727272726</v>
      </c>
      <c r="O44" s="4">
        <f>Table2[[#This Row],[Brown]]/Table2[[#This Row],[Total]]</f>
        <v>0.14545454545454545</v>
      </c>
      <c r="Q44" s="6">
        <f t="shared" si="3"/>
        <v>2.6709517568934693E-4</v>
      </c>
      <c r="R44" s="6">
        <f t="shared" si="4"/>
        <v>0.13</v>
      </c>
      <c r="S44" s="8">
        <f t="shared" si="5"/>
        <v>0.28037126676348562</v>
      </c>
      <c r="T44" s="6">
        <f t="shared" si="6"/>
        <v>4.8903694429011019E-2</v>
      </c>
      <c r="U44" s="6">
        <f t="shared" si="7"/>
        <v>0.24</v>
      </c>
      <c r="V44" s="8">
        <f t="shared" si="8"/>
        <v>0.37988281565831206</v>
      </c>
      <c r="W44" s="6">
        <f t="shared" si="9"/>
        <v>2.135383361833687E-2</v>
      </c>
      <c r="X44" s="6">
        <f t="shared" si="10"/>
        <v>0.16</v>
      </c>
      <c r="Y44" s="8">
        <f t="shared" si="11"/>
        <v>0.32733631994986545</v>
      </c>
      <c r="Z44" s="6">
        <f t="shared" si="12"/>
        <v>2.9218818762108689E-3</v>
      </c>
      <c r="AA44" s="6">
        <f t="shared" si="13"/>
        <v>0.14000000000000001</v>
      </c>
      <c r="AB44" s="8">
        <f t="shared" si="14"/>
        <v>0.28674990373053411</v>
      </c>
      <c r="AC44" s="6">
        <f t="shared" si="15"/>
        <v>2.3728527259920917E-2</v>
      </c>
      <c r="AD44" s="6">
        <f t="shared" si="16"/>
        <v>0.2</v>
      </c>
      <c r="AE44" s="8">
        <f t="shared" si="17"/>
        <v>0.33218836524233741</v>
      </c>
      <c r="AF44" s="6">
        <f t="shared" si="18"/>
        <v>4.8988207055677413E-3</v>
      </c>
      <c r="AG44" s="6">
        <f t="shared" si="19"/>
        <v>0.13</v>
      </c>
      <c r="AH44" s="6">
        <f t="shared" si="20"/>
        <v>0.29139747559072854</v>
      </c>
    </row>
    <row r="45" spans="2:34" x14ac:dyDescent="0.25">
      <c r="B45">
        <v>43</v>
      </c>
      <c r="C45">
        <v>6</v>
      </c>
      <c r="D45">
        <v>12</v>
      </c>
      <c r="E45">
        <v>13</v>
      </c>
      <c r="F45">
        <v>7</v>
      </c>
      <c r="G45">
        <v>11</v>
      </c>
      <c r="H45">
        <v>8</v>
      </c>
      <c r="I45">
        <v>57</v>
      </c>
      <c r="J45" s="4">
        <f>Table2[[#This Row],[Red]]/Table2[[#This Row],[Total]]</f>
        <v>0.10526315789473684</v>
      </c>
      <c r="K45" s="4">
        <f>Table2[[#This Row],[Blue]]/Table2[[#This Row],[Total]]</f>
        <v>0.21052631578947367</v>
      </c>
      <c r="L45" s="4">
        <f>Table2[[#This Row],[Green]]/Table2[[#This Row],[Total]]</f>
        <v>0.22807017543859648</v>
      </c>
      <c r="M45" s="4">
        <f>Table2[[#This Row],[Yellow]]/Table2[[#This Row],[Total]]</f>
        <v>0.12280701754385964</v>
      </c>
      <c r="N45" s="4">
        <f>Table2[[#This Row],[Orange]]/Table2[[#This Row],[Total]]</f>
        <v>0.19298245614035087</v>
      </c>
      <c r="O45" s="4">
        <f>Table2[[#This Row],[Brown]]/Table2[[#This Row],[Total]]</f>
        <v>0.14035087719298245</v>
      </c>
      <c r="Q45" s="6">
        <f t="shared" si="3"/>
        <v>2.6709517568934693E-4</v>
      </c>
      <c r="R45" s="6">
        <f t="shared" si="4"/>
        <v>0.13</v>
      </c>
      <c r="S45" s="8">
        <f t="shared" si="5"/>
        <v>0.28037126676348562</v>
      </c>
      <c r="T45" s="6">
        <f t="shared" si="6"/>
        <v>4.8903694429011019E-2</v>
      </c>
      <c r="U45" s="6">
        <f t="shared" si="7"/>
        <v>0.24</v>
      </c>
      <c r="V45" s="8">
        <f t="shared" si="8"/>
        <v>0.37988281565831206</v>
      </c>
      <c r="W45" s="6">
        <f t="shared" si="9"/>
        <v>2.135383361833687E-2</v>
      </c>
      <c r="X45" s="6">
        <f t="shared" si="10"/>
        <v>0.16</v>
      </c>
      <c r="Y45" s="8">
        <f t="shared" si="11"/>
        <v>0.32733631994986545</v>
      </c>
      <c r="Z45" s="6">
        <f t="shared" si="12"/>
        <v>2.9218818762108689E-3</v>
      </c>
      <c r="AA45" s="6">
        <f t="shared" si="13"/>
        <v>0.14000000000000001</v>
      </c>
      <c r="AB45" s="8">
        <f t="shared" si="14"/>
        <v>0.28674990373053411</v>
      </c>
      <c r="AC45" s="6">
        <f t="shared" si="15"/>
        <v>2.3728527259920917E-2</v>
      </c>
      <c r="AD45" s="6">
        <f t="shared" si="16"/>
        <v>0.2</v>
      </c>
      <c r="AE45" s="8">
        <f t="shared" si="17"/>
        <v>0.33218836524233741</v>
      </c>
      <c r="AF45" s="6">
        <f t="shared" si="18"/>
        <v>4.8988207055677413E-3</v>
      </c>
      <c r="AG45" s="6">
        <f t="shared" si="19"/>
        <v>0.13</v>
      </c>
      <c r="AH45" s="6">
        <f t="shared" si="20"/>
        <v>0.29139747559072854</v>
      </c>
    </row>
    <row r="46" spans="2:34" x14ac:dyDescent="0.25">
      <c r="B46">
        <v>44</v>
      </c>
      <c r="C46">
        <v>10</v>
      </c>
      <c r="D46">
        <v>15</v>
      </c>
      <c r="E46">
        <v>8</v>
      </c>
      <c r="F46">
        <v>9</v>
      </c>
      <c r="G46">
        <v>6</v>
      </c>
      <c r="H46">
        <v>6</v>
      </c>
      <c r="I46">
        <v>54</v>
      </c>
      <c r="J46" s="4">
        <f>Table2[[#This Row],[Red]]/Table2[[#This Row],[Total]]</f>
        <v>0.18518518518518517</v>
      </c>
      <c r="K46" s="4">
        <f>Table2[[#This Row],[Blue]]/Table2[[#This Row],[Total]]</f>
        <v>0.27777777777777779</v>
      </c>
      <c r="L46" s="4">
        <f>Table2[[#This Row],[Green]]/Table2[[#This Row],[Total]]</f>
        <v>0.14814814814814814</v>
      </c>
      <c r="M46" s="4">
        <f>Table2[[#This Row],[Yellow]]/Table2[[#This Row],[Total]]</f>
        <v>0.16666666666666666</v>
      </c>
      <c r="N46" s="4">
        <f>Table2[[#This Row],[Orange]]/Table2[[#This Row],[Total]]</f>
        <v>0.1111111111111111</v>
      </c>
      <c r="O46" s="4">
        <f>Table2[[#This Row],[Brown]]/Table2[[#This Row],[Total]]</f>
        <v>0.1111111111111111</v>
      </c>
      <c r="Q46" s="6">
        <f t="shared" si="3"/>
        <v>2.6709517568934693E-4</v>
      </c>
      <c r="R46" s="6">
        <f t="shared" si="4"/>
        <v>0.13</v>
      </c>
      <c r="S46" s="8">
        <f t="shared" si="5"/>
        <v>0.28037126676348562</v>
      </c>
      <c r="T46" s="6">
        <f t="shared" si="6"/>
        <v>4.8903694429011019E-2</v>
      </c>
      <c r="U46" s="6">
        <f t="shared" si="7"/>
        <v>0.24</v>
      </c>
      <c r="V46" s="8">
        <f t="shared" si="8"/>
        <v>0.37988281565831206</v>
      </c>
      <c r="W46" s="6">
        <f t="shared" si="9"/>
        <v>2.135383361833687E-2</v>
      </c>
      <c r="X46" s="6">
        <f t="shared" si="10"/>
        <v>0.16</v>
      </c>
      <c r="Y46" s="8">
        <f t="shared" si="11"/>
        <v>0.32733631994986545</v>
      </c>
      <c r="Z46" s="6">
        <f t="shared" si="12"/>
        <v>2.9218818762108689E-3</v>
      </c>
      <c r="AA46" s="6">
        <f t="shared" si="13"/>
        <v>0.14000000000000001</v>
      </c>
      <c r="AB46" s="8">
        <f t="shared" si="14"/>
        <v>0.28674990373053411</v>
      </c>
      <c r="AC46" s="6">
        <f t="shared" si="15"/>
        <v>2.3728527259920917E-2</v>
      </c>
      <c r="AD46" s="6">
        <f t="shared" si="16"/>
        <v>0.2</v>
      </c>
      <c r="AE46" s="8">
        <f t="shared" si="17"/>
        <v>0.33218836524233741</v>
      </c>
      <c r="AF46" s="6">
        <f t="shared" si="18"/>
        <v>4.8988207055677413E-3</v>
      </c>
      <c r="AG46" s="6">
        <f t="shared" si="19"/>
        <v>0.13</v>
      </c>
      <c r="AH46" s="6">
        <f t="shared" si="20"/>
        <v>0.29139747559072854</v>
      </c>
    </row>
    <row r="47" spans="2:34" x14ac:dyDescent="0.25">
      <c r="B47">
        <v>45</v>
      </c>
      <c r="C47">
        <v>6</v>
      </c>
      <c r="D47">
        <v>9</v>
      </c>
      <c r="E47">
        <v>15</v>
      </c>
      <c r="F47">
        <v>7</v>
      </c>
      <c r="G47">
        <v>9</v>
      </c>
      <c r="H47">
        <v>7</v>
      </c>
      <c r="I47">
        <v>53</v>
      </c>
      <c r="J47" s="4">
        <f>Table2[[#This Row],[Red]]/Table2[[#This Row],[Total]]</f>
        <v>0.11320754716981132</v>
      </c>
      <c r="K47" s="4">
        <f>Table2[[#This Row],[Blue]]/Table2[[#This Row],[Total]]</f>
        <v>0.16981132075471697</v>
      </c>
      <c r="L47" s="4">
        <f>Table2[[#This Row],[Green]]/Table2[[#This Row],[Total]]</f>
        <v>0.28301886792452829</v>
      </c>
      <c r="M47" s="4">
        <f>Table2[[#This Row],[Yellow]]/Table2[[#This Row],[Total]]</f>
        <v>0.13207547169811321</v>
      </c>
      <c r="N47" s="4">
        <f>Table2[[#This Row],[Orange]]/Table2[[#This Row],[Total]]</f>
        <v>0.16981132075471697</v>
      </c>
      <c r="O47" s="4">
        <f>Table2[[#This Row],[Brown]]/Table2[[#This Row],[Total]]</f>
        <v>0.13207547169811321</v>
      </c>
      <c r="Q47" s="6">
        <f t="shared" si="3"/>
        <v>2.6709517568934693E-4</v>
      </c>
      <c r="R47" s="6">
        <f t="shared" si="4"/>
        <v>0.13</v>
      </c>
      <c r="S47" s="8">
        <f t="shared" si="5"/>
        <v>0.28037126676348562</v>
      </c>
      <c r="T47" s="6">
        <f t="shared" si="6"/>
        <v>4.8903694429011019E-2</v>
      </c>
      <c r="U47" s="6">
        <f t="shared" si="7"/>
        <v>0.24</v>
      </c>
      <c r="V47" s="8">
        <f t="shared" si="8"/>
        <v>0.37988281565831206</v>
      </c>
      <c r="W47" s="6">
        <f t="shared" si="9"/>
        <v>2.135383361833687E-2</v>
      </c>
      <c r="X47" s="6">
        <f t="shared" si="10"/>
        <v>0.16</v>
      </c>
      <c r="Y47" s="8">
        <f t="shared" si="11"/>
        <v>0.32733631994986545</v>
      </c>
      <c r="Z47" s="6">
        <f t="shared" si="12"/>
        <v>2.9218818762108689E-3</v>
      </c>
      <c r="AA47" s="6">
        <f t="shared" si="13"/>
        <v>0.14000000000000001</v>
      </c>
      <c r="AB47" s="8">
        <f t="shared" si="14"/>
        <v>0.28674990373053411</v>
      </c>
      <c r="AC47" s="6">
        <f t="shared" si="15"/>
        <v>2.3728527259920917E-2</v>
      </c>
      <c r="AD47" s="6">
        <f t="shared" si="16"/>
        <v>0.2</v>
      </c>
      <c r="AE47" s="8">
        <f t="shared" si="17"/>
        <v>0.33218836524233741</v>
      </c>
      <c r="AF47" s="6">
        <f t="shared" si="18"/>
        <v>4.8988207055677413E-3</v>
      </c>
      <c r="AG47" s="6">
        <f t="shared" si="19"/>
        <v>0.13</v>
      </c>
      <c r="AH47" s="6">
        <f t="shared" si="20"/>
        <v>0.29139747559072854</v>
      </c>
    </row>
    <row r="48" spans="2:34" x14ac:dyDescent="0.25">
      <c r="B48">
        <v>46</v>
      </c>
      <c r="C48">
        <v>9</v>
      </c>
      <c r="D48">
        <v>13</v>
      </c>
      <c r="E48">
        <v>8</v>
      </c>
      <c r="F48">
        <v>5</v>
      </c>
      <c r="G48">
        <v>10</v>
      </c>
      <c r="H48">
        <v>10</v>
      </c>
      <c r="I48">
        <v>55</v>
      </c>
      <c r="J48" s="4">
        <f>Table2[[#This Row],[Red]]/Table2[[#This Row],[Total]]</f>
        <v>0.16363636363636364</v>
      </c>
      <c r="K48" s="4">
        <f>Table2[[#This Row],[Blue]]/Table2[[#This Row],[Total]]</f>
        <v>0.23636363636363636</v>
      </c>
      <c r="L48" s="4">
        <f>Table2[[#This Row],[Green]]/Table2[[#This Row],[Total]]</f>
        <v>0.14545454545454545</v>
      </c>
      <c r="M48" s="4">
        <f>Table2[[#This Row],[Yellow]]/Table2[[#This Row],[Total]]</f>
        <v>9.0909090909090912E-2</v>
      </c>
      <c r="N48" s="4">
        <f>Table2[[#This Row],[Orange]]/Table2[[#This Row],[Total]]</f>
        <v>0.18181818181818182</v>
      </c>
      <c r="O48" s="4">
        <f>Table2[[#This Row],[Brown]]/Table2[[#This Row],[Total]]</f>
        <v>0.18181818181818182</v>
      </c>
      <c r="Q48" s="6">
        <f t="shared" si="3"/>
        <v>2.6709517568934693E-4</v>
      </c>
      <c r="R48" s="6">
        <f t="shared" si="4"/>
        <v>0.13</v>
      </c>
      <c r="S48" s="8">
        <f t="shared" si="5"/>
        <v>0.28037126676348562</v>
      </c>
      <c r="T48" s="6">
        <f t="shared" si="6"/>
        <v>4.8903694429011019E-2</v>
      </c>
      <c r="U48" s="6">
        <f t="shared" si="7"/>
        <v>0.24</v>
      </c>
      <c r="V48" s="8">
        <f t="shared" si="8"/>
        <v>0.37988281565831206</v>
      </c>
      <c r="W48" s="6">
        <f t="shared" si="9"/>
        <v>2.135383361833687E-2</v>
      </c>
      <c r="X48" s="6">
        <f t="shared" si="10"/>
        <v>0.16</v>
      </c>
      <c r="Y48" s="8">
        <f t="shared" si="11"/>
        <v>0.32733631994986545</v>
      </c>
      <c r="Z48" s="6">
        <f t="shared" si="12"/>
        <v>2.9218818762108689E-3</v>
      </c>
      <c r="AA48" s="6">
        <f t="shared" si="13"/>
        <v>0.14000000000000001</v>
      </c>
      <c r="AB48" s="8">
        <f t="shared" si="14"/>
        <v>0.28674990373053411</v>
      </c>
      <c r="AC48" s="6">
        <f t="shared" si="15"/>
        <v>2.3728527259920917E-2</v>
      </c>
      <c r="AD48" s="6">
        <f t="shared" si="16"/>
        <v>0.2</v>
      </c>
      <c r="AE48" s="8">
        <f t="shared" si="17"/>
        <v>0.33218836524233741</v>
      </c>
      <c r="AF48" s="6">
        <f t="shared" si="18"/>
        <v>4.8988207055677413E-3</v>
      </c>
      <c r="AG48" s="6">
        <f t="shared" si="19"/>
        <v>0.13</v>
      </c>
      <c r="AH48" s="6">
        <f t="shared" si="20"/>
        <v>0.29139747559072854</v>
      </c>
    </row>
    <row r="49" spans="2:34" x14ac:dyDescent="0.25">
      <c r="B49">
        <v>47</v>
      </c>
      <c r="C49">
        <v>6</v>
      </c>
      <c r="D49">
        <v>9</v>
      </c>
      <c r="E49">
        <v>14</v>
      </c>
      <c r="F49">
        <v>8</v>
      </c>
      <c r="G49">
        <v>10</v>
      </c>
      <c r="H49">
        <v>10</v>
      </c>
      <c r="I49">
        <v>57</v>
      </c>
      <c r="J49" s="4">
        <f>Table2[[#This Row],[Red]]/Table2[[#This Row],[Total]]</f>
        <v>0.10526315789473684</v>
      </c>
      <c r="K49" s="4">
        <f>Table2[[#This Row],[Blue]]/Table2[[#This Row],[Total]]</f>
        <v>0.15789473684210525</v>
      </c>
      <c r="L49" s="4">
        <f>Table2[[#This Row],[Green]]/Table2[[#This Row],[Total]]</f>
        <v>0.24561403508771928</v>
      </c>
      <c r="M49" s="4">
        <f>Table2[[#This Row],[Yellow]]/Table2[[#This Row],[Total]]</f>
        <v>0.14035087719298245</v>
      </c>
      <c r="N49" s="4">
        <f>Table2[[#This Row],[Orange]]/Table2[[#This Row],[Total]]</f>
        <v>0.17543859649122806</v>
      </c>
      <c r="O49" s="4">
        <f>Table2[[#This Row],[Brown]]/Table2[[#This Row],[Total]]</f>
        <v>0.17543859649122806</v>
      </c>
      <c r="Q49" s="6">
        <f t="shared" si="3"/>
        <v>2.6709517568934693E-4</v>
      </c>
      <c r="R49" s="6">
        <f t="shared" si="4"/>
        <v>0.13</v>
      </c>
      <c r="S49" s="8">
        <f t="shared" si="5"/>
        <v>0.28037126676348562</v>
      </c>
      <c r="T49" s="6">
        <f t="shared" si="6"/>
        <v>4.8903694429011019E-2</v>
      </c>
      <c r="U49" s="6">
        <f t="shared" si="7"/>
        <v>0.24</v>
      </c>
      <c r="V49" s="8">
        <f t="shared" si="8"/>
        <v>0.37988281565831206</v>
      </c>
      <c r="W49" s="6">
        <f t="shared" si="9"/>
        <v>2.135383361833687E-2</v>
      </c>
      <c r="X49" s="6">
        <f t="shared" si="10"/>
        <v>0.16</v>
      </c>
      <c r="Y49" s="8">
        <f t="shared" si="11"/>
        <v>0.32733631994986545</v>
      </c>
      <c r="Z49" s="6">
        <f t="shared" si="12"/>
        <v>2.9218818762108689E-3</v>
      </c>
      <c r="AA49" s="6">
        <f t="shared" si="13"/>
        <v>0.14000000000000001</v>
      </c>
      <c r="AB49" s="8">
        <f t="shared" si="14"/>
        <v>0.28674990373053411</v>
      </c>
      <c r="AC49" s="6">
        <f t="shared" si="15"/>
        <v>2.3728527259920917E-2</v>
      </c>
      <c r="AD49" s="6">
        <f t="shared" si="16"/>
        <v>0.2</v>
      </c>
      <c r="AE49" s="8">
        <f t="shared" si="17"/>
        <v>0.33218836524233741</v>
      </c>
      <c r="AF49" s="6">
        <f t="shared" si="18"/>
        <v>4.8988207055677413E-3</v>
      </c>
      <c r="AG49" s="6">
        <f t="shared" si="19"/>
        <v>0.13</v>
      </c>
      <c r="AH49" s="6">
        <f t="shared" si="20"/>
        <v>0.29139747559072854</v>
      </c>
    </row>
    <row r="50" spans="2:34" x14ac:dyDescent="0.25">
      <c r="B50">
        <v>48</v>
      </c>
      <c r="C50">
        <v>8</v>
      </c>
      <c r="D50">
        <v>11</v>
      </c>
      <c r="E50">
        <v>9</v>
      </c>
      <c r="F50">
        <v>8</v>
      </c>
      <c r="G50">
        <v>10</v>
      </c>
      <c r="H50">
        <v>7</v>
      </c>
      <c r="I50">
        <v>53</v>
      </c>
      <c r="J50" s="4">
        <f>Table2[[#This Row],[Red]]/Table2[[#This Row],[Total]]</f>
        <v>0.15094339622641509</v>
      </c>
      <c r="K50" s="4">
        <f>Table2[[#This Row],[Blue]]/Table2[[#This Row],[Total]]</f>
        <v>0.20754716981132076</v>
      </c>
      <c r="L50" s="4">
        <f>Table2[[#This Row],[Green]]/Table2[[#This Row],[Total]]</f>
        <v>0.16981132075471697</v>
      </c>
      <c r="M50" s="4">
        <f>Table2[[#This Row],[Yellow]]/Table2[[#This Row],[Total]]</f>
        <v>0.15094339622641509</v>
      </c>
      <c r="N50" s="4">
        <f>Table2[[#This Row],[Orange]]/Table2[[#This Row],[Total]]</f>
        <v>0.18867924528301888</v>
      </c>
      <c r="O50" s="4">
        <f>Table2[[#This Row],[Brown]]/Table2[[#This Row],[Total]]</f>
        <v>0.13207547169811321</v>
      </c>
      <c r="Q50" s="6">
        <f t="shared" si="3"/>
        <v>2.6709517568934693E-4</v>
      </c>
      <c r="R50" s="6">
        <f t="shared" si="4"/>
        <v>0.13</v>
      </c>
      <c r="S50" s="8">
        <f t="shared" si="5"/>
        <v>0.28037126676348562</v>
      </c>
      <c r="T50" s="6">
        <f t="shared" si="6"/>
        <v>4.8903694429011019E-2</v>
      </c>
      <c r="U50" s="6">
        <f t="shared" si="7"/>
        <v>0.24</v>
      </c>
      <c r="V50" s="8">
        <f t="shared" si="8"/>
        <v>0.37988281565831206</v>
      </c>
      <c r="W50" s="6">
        <f t="shared" si="9"/>
        <v>2.135383361833687E-2</v>
      </c>
      <c r="X50" s="6">
        <f t="shared" si="10"/>
        <v>0.16</v>
      </c>
      <c r="Y50" s="8">
        <f t="shared" si="11"/>
        <v>0.32733631994986545</v>
      </c>
      <c r="Z50" s="6">
        <f t="shared" si="12"/>
        <v>2.9218818762108689E-3</v>
      </c>
      <c r="AA50" s="6">
        <f t="shared" si="13"/>
        <v>0.14000000000000001</v>
      </c>
      <c r="AB50" s="8">
        <f t="shared" si="14"/>
        <v>0.28674990373053411</v>
      </c>
      <c r="AC50" s="6">
        <f t="shared" si="15"/>
        <v>2.3728527259920917E-2</v>
      </c>
      <c r="AD50" s="6">
        <f t="shared" si="16"/>
        <v>0.2</v>
      </c>
      <c r="AE50" s="8">
        <f t="shared" si="17"/>
        <v>0.33218836524233741</v>
      </c>
      <c r="AF50" s="6">
        <f t="shared" si="18"/>
        <v>4.8988207055677413E-3</v>
      </c>
      <c r="AG50" s="6">
        <f t="shared" si="19"/>
        <v>0.13</v>
      </c>
      <c r="AH50" s="6">
        <f t="shared" si="20"/>
        <v>0.29139747559072854</v>
      </c>
    </row>
    <row r="51" spans="2:34" x14ac:dyDescent="0.25">
      <c r="B51">
        <v>49</v>
      </c>
      <c r="C51">
        <v>9</v>
      </c>
      <c r="D51">
        <v>10</v>
      </c>
      <c r="E51">
        <v>13</v>
      </c>
      <c r="F51">
        <v>7</v>
      </c>
      <c r="G51">
        <v>10</v>
      </c>
      <c r="H51">
        <v>8</v>
      </c>
      <c r="I51">
        <v>57</v>
      </c>
      <c r="J51" s="4">
        <f>Table2[[#This Row],[Red]]/Table2[[#This Row],[Total]]</f>
        <v>0.15789473684210525</v>
      </c>
      <c r="K51" s="4">
        <f>Table2[[#This Row],[Blue]]/Table2[[#This Row],[Total]]</f>
        <v>0.17543859649122806</v>
      </c>
      <c r="L51" s="4">
        <f>Table2[[#This Row],[Green]]/Table2[[#This Row],[Total]]</f>
        <v>0.22807017543859648</v>
      </c>
      <c r="M51" s="4">
        <f>Table2[[#This Row],[Yellow]]/Table2[[#This Row],[Total]]</f>
        <v>0.12280701754385964</v>
      </c>
      <c r="N51" s="4">
        <f>Table2[[#This Row],[Orange]]/Table2[[#This Row],[Total]]</f>
        <v>0.17543859649122806</v>
      </c>
      <c r="O51" s="4">
        <f>Table2[[#This Row],[Brown]]/Table2[[#This Row],[Total]]</f>
        <v>0.14035087719298245</v>
      </c>
      <c r="Q51" s="6">
        <f t="shared" si="3"/>
        <v>2.6709517568934693E-4</v>
      </c>
      <c r="R51" s="6">
        <f t="shared" si="4"/>
        <v>0.13</v>
      </c>
      <c r="S51" s="8">
        <f t="shared" si="5"/>
        <v>0.28037126676348562</v>
      </c>
      <c r="T51" s="6">
        <f t="shared" si="6"/>
        <v>4.8903694429011019E-2</v>
      </c>
      <c r="U51" s="6">
        <f t="shared" si="7"/>
        <v>0.24</v>
      </c>
      <c r="V51" s="8">
        <f t="shared" si="8"/>
        <v>0.37988281565831206</v>
      </c>
      <c r="W51" s="6">
        <f t="shared" si="9"/>
        <v>2.135383361833687E-2</v>
      </c>
      <c r="X51" s="6">
        <f t="shared" si="10"/>
        <v>0.16</v>
      </c>
      <c r="Y51" s="8">
        <f t="shared" si="11"/>
        <v>0.32733631994986545</v>
      </c>
      <c r="Z51" s="6">
        <f t="shared" si="12"/>
        <v>2.9218818762108689E-3</v>
      </c>
      <c r="AA51" s="6">
        <f t="shared" si="13"/>
        <v>0.14000000000000001</v>
      </c>
      <c r="AB51" s="8">
        <f t="shared" si="14"/>
        <v>0.28674990373053411</v>
      </c>
      <c r="AC51" s="6">
        <f t="shared" si="15"/>
        <v>2.3728527259920917E-2</v>
      </c>
      <c r="AD51" s="6">
        <f t="shared" si="16"/>
        <v>0.2</v>
      </c>
      <c r="AE51" s="8">
        <f t="shared" si="17"/>
        <v>0.33218836524233741</v>
      </c>
      <c r="AF51" s="6">
        <f t="shared" si="18"/>
        <v>4.8988207055677413E-3</v>
      </c>
      <c r="AG51" s="6">
        <f t="shared" si="19"/>
        <v>0.13</v>
      </c>
      <c r="AH51" s="6">
        <f t="shared" si="20"/>
        <v>0.29139747559072854</v>
      </c>
    </row>
    <row r="52" spans="2:34" x14ac:dyDescent="0.25">
      <c r="B52">
        <v>50</v>
      </c>
      <c r="C52">
        <v>11</v>
      </c>
      <c r="D52">
        <v>7</v>
      </c>
      <c r="E52">
        <v>16</v>
      </c>
      <c r="F52">
        <v>6</v>
      </c>
      <c r="G52">
        <v>8</v>
      </c>
      <c r="H52">
        <v>10</v>
      </c>
      <c r="I52">
        <v>58</v>
      </c>
      <c r="J52" s="4">
        <f>Table2[[#This Row],[Red]]/Table2[[#This Row],[Total]]</f>
        <v>0.18965517241379309</v>
      </c>
      <c r="K52" s="4">
        <f>Table2[[#This Row],[Blue]]/Table2[[#This Row],[Total]]</f>
        <v>0.1206896551724138</v>
      </c>
      <c r="L52" s="4">
        <f>Table2[[#This Row],[Green]]/Table2[[#This Row],[Total]]</f>
        <v>0.27586206896551724</v>
      </c>
      <c r="M52" s="4">
        <f>Table2[[#This Row],[Yellow]]/Table2[[#This Row],[Total]]</f>
        <v>0.10344827586206896</v>
      </c>
      <c r="N52" s="4">
        <f>Table2[[#This Row],[Orange]]/Table2[[#This Row],[Total]]</f>
        <v>0.13793103448275862</v>
      </c>
      <c r="O52" s="4">
        <f>Table2[[#This Row],[Brown]]/Table2[[#This Row],[Total]]</f>
        <v>0.17241379310344829</v>
      </c>
      <c r="Q52" s="6">
        <f t="shared" si="3"/>
        <v>2.6709517568934693E-4</v>
      </c>
      <c r="R52" s="6">
        <f t="shared" si="4"/>
        <v>0.13</v>
      </c>
      <c r="S52" s="8">
        <f t="shared" si="5"/>
        <v>0.28037126676348562</v>
      </c>
      <c r="T52" s="6">
        <f t="shared" si="6"/>
        <v>4.8903694429011019E-2</v>
      </c>
      <c r="U52" s="6">
        <f t="shared" si="7"/>
        <v>0.24</v>
      </c>
      <c r="V52" s="8">
        <f t="shared" si="8"/>
        <v>0.37988281565831206</v>
      </c>
      <c r="W52" s="6">
        <f t="shared" si="9"/>
        <v>2.135383361833687E-2</v>
      </c>
      <c r="X52" s="6">
        <f t="shared" si="10"/>
        <v>0.16</v>
      </c>
      <c r="Y52" s="8">
        <f t="shared" si="11"/>
        <v>0.32733631994986545</v>
      </c>
      <c r="Z52" s="6">
        <f t="shared" si="12"/>
        <v>2.9218818762108689E-3</v>
      </c>
      <c r="AA52" s="6">
        <f t="shared" si="13"/>
        <v>0.14000000000000001</v>
      </c>
      <c r="AB52" s="8">
        <f t="shared" si="14"/>
        <v>0.28674990373053411</v>
      </c>
      <c r="AC52" s="6">
        <f t="shared" si="15"/>
        <v>2.3728527259920917E-2</v>
      </c>
      <c r="AD52" s="6">
        <f t="shared" si="16"/>
        <v>0.2</v>
      </c>
      <c r="AE52" s="8">
        <f t="shared" si="17"/>
        <v>0.33218836524233741</v>
      </c>
      <c r="AF52" s="6">
        <f t="shared" si="18"/>
        <v>4.8988207055677413E-3</v>
      </c>
      <c r="AG52" s="6">
        <f t="shared" si="19"/>
        <v>0.13</v>
      </c>
      <c r="AH52" s="6">
        <f t="shared" si="20"/>
        <v>0.29139747559072854</v>
      </c>
    </row>
    <row r="53" spans="2:34" x14ac:dyDescent="0.25">
      <c r="B53">
        <v>51</v>
      </c>
      <c r="C53">
        <v>7</v>
      </c>
      <c r="D53">
        <v>12</v>
      </c>
      <c r="E53">
        <v>10</v>
      </c>
      <c r="F53">
        <v>9</v>
      </c>
      <c r="G53">
        <v>11</v>
      </c>
      <c r="H53">
        <v>7</v>
      </c>
      <c r="I53">
        <v>56</v>
      </c>
      <c r="J53" s="4">
        <f>Table2[[#This Row],[Red]]/Table2[[#This Row],[Total]]</f>
        <v>0.125</v>
      </c>
      <c r="K53" s="4">
        <f>Table2[[#This Row],[Blue]]/Table2[[#This Row],[Total]]</f>
        <v>0.21428571428571427</v>
      </c>
      <c r="L53" s="4">
        <f>Table2[[#This Row],[Green]]/Table2[[#This Row],[Total]]</f>
        <v>0.17857142857142858</v>
      </c>
      <c r="M53" s="4">
        <f>Table2[[#This Row],[Yellow]]/Table2[[#This Row],[Total]]</f>
        <v>0.16071428571428573</v>
      </c>
      <c r="N53" s="4">
        <f>Table2[[#This Row],[Orange]]/Table2[[#This Row],[Total]]</f>
        <v>0.19642857142857142</v>
      </c>
      <c r="O53" s="4">
        <f>Table2[[#This Row],[Brown]]/Table2[[#This Row],[Total]]</f>
        <v>0.125</v>
      </c>
      <c r="Q53" s="6">
        <f t="shared" si="3"/>
        <v>2.6709517568934693E-4</v>
      </c>
      <c r="R53" s="6">
        <f t="shared" si="4"/>
        <v>0.13</v>
      </c>
      <c r="S53" s="8">
        <f t="shared" si="5"/>
        <v>0.28037126676348562</v>
      </c>
      <c r="T53" s="6">
        <f t="shared" si="6"/>
        <v>4.8903694429011019E-2</v>
      </c>
      <c r="U53" s="6">
        <f t="shared" si="7"/>
        <v>0.24</v>
      </c>
      <c r="V53" s="8">
        <f t="shared" si="8"/>
        <v>0.37988281565831206</v>
      </c>
      <c r="W53" s="6">
        <f t="shared" si="9"/>
        <v>2.135383361833687E-2</v>
      </c>
      <c r="X53" s="6">
        <f t="shared" si="10"/>
        <v>0.16</v>
      </c>
      <c r="Y53" s="8">
        <f t="shared" si="11"/>
        <v>0.32733631994986545</v>
      </c>
      <c r="Z53" s="6">
        <f t="shared" si="12"/>
        <v>2.9218818762108689E-3</v>
      </c>
      <c r="AA53" s="6">
        <f t="shared" si="13"/>
        <v>0.14000000000000001</v>
      </c>
      <c r="AB53" s="8">
        <f t="shared" si="14"/>
        <v>0.28674990373053411</v>
      </c>
      <c r="AC53" s="6">
        <f t="shared" si="15"/>
        <v>2.3728527259920917E-2</v>
      </c>
      <c r="AD53" s="6">
        <f t="shared" si="16"/>
        <v>0.2</v>
      </c>
      <c r="AE53" s="8">
        <f t="shared" si="17"/>
        <v>0.33218836524233741</v>
      </c>
      <c r="AF53" s="6">
        <f t="shared" si="18"/>
        <v>4.8988207055677413E-3</v>
      </c>
      <c r="AG53" s="6">
        <f t="shared" si="19"/>
        <v>0.13</v>
      </c>
      <c r="AH53" s="6">
        <f t="shared" si="20"/>
        <v>0.29139747559072854</v>
      </c>
    </row>
    <row r="54" spans="2:34" x14ac:dyDescent="0.25">
      <c r="B54">
        <v>52</v>
      </c>
      <c r="C54">
        <v>7</v>
      </c>
      <c r="D54">
        <v>10</v>
      </c>
      <c r="E54">
        <v>7</v>
      </c>
      <c r="F54">
        <v>9</v>
      </c>
      <c r="G54">
        <v>15</v>
      </c>
      <c r="H54">
        <v>7</v>
      </c>
      <c r="I54">
        <v>55</v>
      </c>
      <c r="J54" s="4">
        <f>Table2[[#This Row],[Red]]/Table2[[#This Row],[Total]]</f>
        <v>0.12727272727272726</v>
      </c>
      <c r="K54" s="4">
        <f>Table2[[#This Row],[Blue]]/Table2[[#This Row],[Total]]</f>
        <v>0.18181818181818182</v>
      </c>
      <c r="L54" s="4">
        <f>Table2[[#This Row],[Green]]/Table2[[#This Row],[Total]]</f>
        <v>0.12727272727272726</v>
      </c>
      <c r="M54" s="4">
        <f>Table2[[#This Row],[Yellow]]/Table2[[#This Row],[Total]]</f>
        <v>0.16363636363636364</v>
      </c>
      <c r="N54" s="4">
        <f>Table2[[#This Row],[Orange]]/Table2[[#This Row],[Total]]</f>
        <v>0.27272727272727271</v>
      </c>
      <c r="O54" s="4">
        <f>Table2[[#This Row],[Brown]]/Table2[[#This Row],[Total]]</f>
        <v>0.12727272727272726</v>
      </c>
      <c r="Q54" s="6">
        <f t="shared" si="3"/>
        <v>2.6709517568934693E-4</v>
      </c>
      <c r="R54" s="6">
        <f t="shared" si="4"/>
        <v>0.13</v>
      </c>
      <c r="S54" s="8">
        <f t="shared" si="5"/>
        <v>0.28037126676348562</v>
      </c>
      <c r="T54" s="6">
        <f t="shared" si="6"/>
        <v>4.8903694429011019E-2</v>
      </c>
      <c r="U54" s="6">
        <f t="shared" si="7"/>
        <v>0.24</v>
      </c>
      <c r="V54" s="8">
        <f t="shared" si="8"/>
        <v>0.37988281565831206</v>
      </c>
      <c r="W54" s="6">
        <f t="shared" si="9"/>
        <v>2.135383361833687E-2</v>
      </c>
      <c r="X54" s="6">
        <f t="shared" si="10"/>
        <v>0.16</v>
      </c>
      <c r="Y54" s="8">
        <f t="shared" si="11"/>
        <v>0.32733631994986545</v>
      </c>
      <c r="Z54" s="6">
        <f t="shared" si="12"/>
        <v>2.9218818762108689E-3</v>
      </c>
      <c r="AA54" s="6">
        <f t="shared" si="13"/>
        <v>0.14000000000000001</v>
      </c>
      <c r="AB54" s="8">
        <f t="shared" si="14"/>
        <v>0.28674990373053411</v>
      </c>
      <c r="AC54" s="6">
        <f t="shared" si="15"/>
        <v>2.3728527259920917E-2</v>
      </c>
      <c r="AD54" s="6">
        <f t="shared" si="16"/>
        <v>0.2</v>
      </c>
      <c r="AE54" s="8">
        <f t="shared" si="17"/>
        <v>0.33218836524233741</v>
      </c>
      <c r="AF54" s="6">
        <f t="shared" si="18"/>
        <v>4.8988207055677413E-3</v>
      </c>
      <c r="AG54" s="6">
        <f t="shared" si="19"/>
        <v>0.13</v>
      </c>
      <c r="AH54" s="6">
        <f t="shared" si="20"/>
        <v>0.29139747559072854</v>
      </c>
    </row>
    <row r="55" spans="2:34" x14ac:dyDescent="0.25">
      <c r="B55">
        <v>53</v>
      </c>
      <c r="C55">
        <v>7</v>
      </c>
      <c r="D55">
        <v>12</v>
      </c>
      <c r="E55">
        <v>12</v>
      </c>
      <c r="F55">
        <v>7</v>
      </c>
      <c r="G55">
        <v>5</v>
      </c>
      <c r="H55">
        <v>12</v>
      </c>
      <c r="I55">
        <v>55</v>
      </c>
      <c r="J55" s="4">
        <f>Table2[[#This Row],[Red]]/Table2[[#This Row],[Total]]</f>
        <v>0.12727272727272726</v>
      </c>
      <c r="K55" s="4">
        <f>Table2[[#This Row],[Blue]]/Table2[[#This Row],[Total]]</f>
        <v>0.21818181818181817</v>
      </c>
      <c r="L55" s="4">
        <f>Table2[[#This Row],[Green]]/Table2[[#This Row],[Total]]</f>
        <v>0.21818181818181817</v>
      </c>
      <c r="M55" s="4">
        <f>Table2[[#This Row],[Yellow]]/Table2[[#This Row],[Total]]</f>
        <v>0.12727272727272726</v>
      </c>
      <c r="N55" s="4">
        <f>Table2[[#This Row],[Orange]]/Table2[[#This Row],[Total]]</f>
        <v>9.0909090909090912E-2</v>
      </c>
      <c r="O55" s="4">
        <f>Table2[[#This Row],[Brown]]/Table2[[#This Row],[Total]]</f>
        <v>0.21818181818181817</v>
      </c>
      <c r="Q55" s="6">
        <f t="shared" si="3"/>
        <v>2.6709517568934693E-4</v>
      </c>
      <c r="R55" s="6">
        <f t="shared" si="4"/>
        <v>0.13</v>
      </c>
      <c r="S55" s="8">
        <f t="shared" si="5"/>
        <v>0.28037126676348562</v>
      </c>
      <c r="T55" s="6">
        <f t="shared" si="6"/>
        <v>4.8903694429011019E-2</v>
      </c>
      <c r="U55" s="6">
        <f t="shared" si="7"/>
        <v>0.24</v>
      </c>
      <c r="V55" s="8">
        <f t="shared" si="8"/>
        <v>0.37988281565831206</v>
      </c>
      <c r="W55" s="6">
        <f t="shared" si="9"/>
        <v>2.135383361833687E-2</v>
      </c>
      <c r="X55" s="6">
        <f t="shared" si="10"/>
        <v>0.16</v>
      </c>
      <c r="Y55" s="8">
        <f t="shared" si="11"/>
        <v>0.32733631994986545</v>
      </c>
      <c r="Z55" s="6">
        <f t="shared" si="12"/>
        <v>2.9218818762108689E-3</v>
      </c>
      <c r="AA55" s="6">
        <f t="shared" si="13"/>
        <v>0.14000000000000001</v>
      </c>
      <c r="AB55" s="8">
        <f t="shared" si="14"/>
        <v>0.28674990373053411</v>
      </c>
      <c r="AC55" s="6">
        <f t="shared" si="15"/>
        <v>2.3728527259920917E-2</v>
      </c>
      <c r="AD55" s="6">
        <f t="shared" si="16"/>
        <v>0.2</v>
      </c>
      <c r="AE55" s="8">
        <f t="shared" si="17"/>
        <v>0.33218836524233741</v>
      </c>
      <c r="AF55" s="6">
        <f t="shared" si="18"/>
        <v>4.8988207055677413E-3</v>
      </c>
      <c r="AG55" s="6">
        <f t="shared" si="19"/>
        <v>0.13</v>
      </c>
      <c r="AH55" s="6">
        <f t="shared" si="20"/>
        <v>0.29139747559072854</v>
      </c>
    </row>
    <row r="56" spans="2:34" x14ac:dyDescent="0.25">
      <c r="B56">
        <v>54</v>
      </c>
      <c r="C56">
        <v>11</v>
      </c>
      <c r="D56">
        <v>7</v>
      </c>
      <c r="E56">
        <v>11</v>
      </c>
      <c r="F56">
        <v>14</v>
      </c>
      <c r="G56">
        <v>7</v>
      </c>
      <c r="H56">
        <v>6</v>
      </c>
      <c r="I56">
        <v>56</v>
      </c>
      <c r="J56" s="4">
        <f>Table2[[#This Row],[Red]]/Table2[[#This Row],[Total]]</f>
        <v>0.19642857142857142</v>
      </c>
      <c r="K56" s="4">
        <f>Table2[[#This Row],[Blue]]/Table2[[#This Row],[Total]]</f>
        <v>0.125</v>
      </c>
      <c r="L56" s="4">
        <f>Table2[[#This Row],[Green]]/Table2[[#This Row],[Total]]</f>
        <v>0.19642857142857142</v>
      </c>
      <c r="M56" s="4">
        <f>Table2[[#This Row],[Yellow]]/Table2[[#This Row],[Total]]</f>
        <v>0.25</v>
      </c>
      <c r="N56" s="4">
        <f>Table2[[#This Row],[Orange]]/Table2[[#This Row],[Total]]</f>
        <v>0.125</v>
      </c>
      <c r="O56" s="4">
        <f>Table2[[#This Row],[Brown]]/Table2[[#This Row],[Total]]</f>
        <v>0.10714285714285714</v>
      </c>
      <c r="Q56" s="6">
        <f t="shared" si="3"/>
        <v>2.6709517568934693E-4</v>
      </c>
      <c r="R56" s="6">
        <f t="shared" si="4"/>
        <v>0.13</v>
      </c>
      <c r="S56" s="8">
        <f t="shared" si="5"/>
        <v>0.28037126676348562</v>
      </c>
      <c r="T56" s="6">
        <f t="shared" si="6"/>
        <v>4.8903694429011019E-2</v>
      </c>
      <c r="U56" s="6">
        <f t="shared" si="7"/>
        <v>0.24</v>
      </c>
      <c r="V56" s="8">
        <f t="shared" si="8"/>
        <v>0.37988281565831206</v>
      </c>
      <c r="W56" s="6">
        <f t="shared" si="9"/>
        <v>2.135383361833687E-2</v>
      </c>
      <c r="X56" s="6">
        <f t="shared" si="10"/>
        <v>0.16</v>
      </c>
      <c r="Y56" s="8">
        <f t="shared" si="11"/>
        <v>0.32733631994986545</v>
      </c>
      <c r="Z56" s="6">
        <f t="shared" si="12"/>
        <v>2.9218818762108689E-3</v>
      </c>
      <c r="AA56" s="6">
        <f t="shared" si="13"/>
        <v>0.14000000000000001</v>
      </c>
      <c r="AB56" s="8">
        <f t="shared" si="14"/>
        <v>0.28674990373053411</v>
      </c>
      <c r="AC56" s="6">
        <f t="shared" si="15"/>
        <v>2.3728527259920917E-2</v>
      </c>
      <c r="AD56" s="6">
        <f t="shared" si="16"/>
        <v>0.2</v>
      </c>
      <c r="AE56" s="8">
        <f t="shared" si="17"/>
        <v>0.33218836524233741</v>
      </c>
      <c r="AF56" s="6">
        <f t="shared" si="18"/>
        <v>4.8988207055677413E-3</v>
      </c>
      <c r="AG56" s="6">
        <f t="shared" si="19"/>
        <v>0.13</v>
      </c>
      <c r="AH56" s="6">
        <f t="shared" si="20"/>
        <v>0.29139747559072854</v>
      </c>
    </row>
    <row r="57" spans="2:34" x14ac:dyDescent="0.25">
      <c r="B57">
        <v>55</v>
      </c>
      <c r="C57">
        <v>6</v>
      </c>
      <c r="D57">
        <v>16</v>
      </c>
      <c r="E57">
        <v>8</v>
      </c>
      <c r="F57">
        <v>10</v>
      </c>
      <c r="G57">
        <v>7</v>
      </c>
      <c r="H57">
        <v>9</v>
      </c>
      <c r="I57">
        <v>56</v>
      </c>
      <c r="J57" s="4">
        <f>Table2[[#This Row],[Red]]/Table2[[#This Row],[Total]]</f>
        <v>0.10714285714285714</v>
      </c>
      <c r="K57" s="4">
        <f>Table2[[#This Row],[Blue]]/Table2[[#This Row],[Total]]</f>
        <v>0.2857142857142857</v>
      </c>
      <c r="L57" s="4">
        <f>Table2[[#This Row],[Green]]/Table2[[#This Row],[Total]]</f>
        <v>0.14285714285714285</v>
      </c>
      <c r="M57" s="4">
        <f>Table2[[#This Row],[Yellow]]/Table2[[#This Row],[Total]]</f>
        <v>0.17857142857142858</v>
      </c>
      <c r="N57" s="4">
        <f>Table2[[#This Row],[Orange]]/Table2[[#This Row],[Total]]</f>
        <v>0.125</v>
      </c>
      <c r="O57" s="4">
        <f>Table2[[#This Row],[Brown]]/Table2[[#This Row],[Total]]</f>
        <v>0.16071428571428573</v>
      </c>
      <c r="Q57" s="6">
        <f t="shared" si="3"/>
        <v>2.6709517568934693E-4</v>
      </c>
      <c r="R57" s="6">
        <f t="shared" si="4"/>
        <v>0.13</v>
      </c>
      <c r="S57" s="8">
        <f t="shared" si="5"/>
        <v>0.28037126676348562</v>
      </c>
      <c r="T57" s="6">
        <f t="shared" si="6"/>
        <v>4.8903694429011019E-2</v>
      </c>
      <c r="U57" s="6">
        <f t="shared" si="7"/>
        <v>0.24</v>
      </c>
      <c r="V57" s="8">
        <f t="shared" si="8"/>
        <v>0.37988281565831206</v>
      </c>
      <c r="W57" s="6">
        <f t="shared" si="9"/>
        <v>2.135383361833687E-2</v>
      </c>
      <c r="X57" s="6">
        <f t="shared" si="10"/>
        <v>0.16</v>
      </c>
      <c r="Y57" s="8">
        <f t="shared" si="11"/>
        <v>0.32733631994986545</v>
      </c>
      <c r="Z57" s="6">
        <f t="shared" si="12"/>
        <v>2.9218818762108689E-3</v>
      </c>
      <c r="AA57" s="6">
        <f t="shared" si="13"/>
        <v>0.14000000000000001</v>
      </c>
      <c r="AB57" s="8">
        <f t="shared" si="14"/>
        <v>0.28674990373053411</v>
      </c>
      <c r="AC57" s="6">
        <f t="shared" si="15"/>
        <v>2.3728527259920917E-2</v>
      </c>
      <c r="AD57" s="6">
        <f t="shared" si="16"/>
        <v>0.2</v>
      </c>
      <c r="AE57" s="8">
        <f t="shared" si="17"/>
        <v>0.33218836524233741</v>
      </c>
      <c r="AF57" s="6">
        <f t="shared" si="18"/>
        <v>4.8988207055677413E-3</v>
      </c>
      <c r="AG57" s="6">
        <f t="shared" si="19"/>
        <v>0.13</v>
      </c>
      <c r="AH57" s="6">
        <f t="shared" si="20"/>
        <v>0.29139747559072854</v>
      </c>
    </row>
    <row r="58" spans="2:34" x14ac:dyDescent="0.25">
      <c r="B58">
        <v>56</v>
      </c>
      <c r="C58">
        <v>6</v>
      </c>
      <c r="D58">
        <v>18</v>
      </c>
      <c r="E58">
        <v>9</v>
      </c>
      <c r="F58">
        <v>10</v>
      </c>
      <c r="G58">
        <v>8</v>
      </c>
      <c r="H58">
        <v>3</v>
      </c>
      <c r="I58">
        <v>54</v>
      </c>
      <c r="J58" s="4">
        <f>Table2[[#This Row],[Red]]/Table2[[#This Row],[Total]]</f>
        <v>0.1111111111111111</v>
      </c>
      <c r="K58" s="4">
        <f>Table2[[#This Row],[Blue]]/Table2[[#This Row],[Total]]</f>
        <v>0.33333333333333331</v>
      </c>
      <c r="L58" s="4">
        <f>Table2[[#This Row],[Green]]/Table2[[#This Row],[Total]]</f>
        <v>0.16666666666666666</v>
      </c>
      <c r="M58" s="4">
        <f>Table2[[#This Row],[Yellow]]/Table2[[#This Row],[Total]]</f>
        <v>0.18518518518518517</v>
      </c>
      <c r="N58" s="4">
        <f>Table2[[#This Row],[Orange]]/Table2[[#This Row],[Total]]</f>
        <v>0.14814814814814814</v>
      </c>
      <c r="O58" s="4">
        <f>Table2[[#This Row],[Brown]]/Table2[[#This Row],[Total]]</f>
        <v>5.5555555555555552E-2</v>
      </c>
      <c r="Q58" s="6">
        <f t="shared" si="3"/>
        <v>2.6709517568934693E-4</v>
      </c>
      <c r="R58" s="6">
        <f t="shared" si="4"/>
        <v>0.13</v>
      </c>
      <c r="S58" s="8">
        <f t="shared" si="5"/>
        <v>0.28037126676348562</v>
      </c>
      <c r="T58" s="6">
        <f t="shared" si="6"/>
        <v>4.8903694429011019E-2</v>
      </c>
      <c r="U58" s="6">
        <f t="shared" si="7"/>
        <v>0.24</v>
      </c>
      <c r="V58" s="8">
        <f t="shared" si="8"/>
        <v>0.37988281565831206</v>
      </c>
      <c r="W58" s="6">
        <f t="shared" si="9"/>
        <v>2.135383361833687E-2</v>
      </c>
      <c r="X58" s="6">
        <f t="shared" si="10"/>
        <v>0.16</v>
      </c>
      <c r="Y58" s="8">
        <f t="shared" si="11"/>
        <v>0.32733631994986545</v>
      </c>
      <c r="Z58" s="6">
        <f t="shared" si="12"/>
        <v>2.9218818762108689E-3</v>
      </c>
      <c r="AA58" s="6">
        <f t="shared" si="13"/>
        <v>0.14000000000000001</v>
      </c>
      <c r="AB58" s="8">
        <f t="shared" si="14"/>
        <v>0.28674990373053411</v>
      </c>
      <c r="AC58" s="6">
        <f t="shared" si="15"/>
        <v>2.3728527259920917E-2</v>
      </c>
      <c r="AD58" s="6">
        <f t="shared" si="16"/>
        <v>0.2</v>
      </c>
      <c r="AE58" s="8">
        <f t="shared" si="17"/>
        <v>0.33218836524233741</v>
      </c>
      <c r="AF58" s="6">
        <f t="shared" si="18"/>
        <v>4.8988207055677413E-3</v>
      </c>
      <c r="AG58" s="6">
        <f t="shared" si="19"/>
        <v>0.13</v>
      </c>
      <c r="AH58" s="6">
        <f t="shared" si="20"/>
        <v>0.29139747559072854</v>
      </c>
    </row>
    <row r="59" spans="2:34" x14ac:dyDescent="0.25">
      <c r="B59">
        <v>57</v>
      </c>
      <c r="C59">
        <v>12</v>
      </c>
      <c r="D59">
        <v>15</v>
      </c>
      <c r="E59">
        <v>7</v>
      </c>
      <c r="F59">
        <v>9</v>
      </c>
      <c r="G59">
        <v>5</v>
      </c>
      <c r="H59">
        <v>7</v>
      </c>
      <c r="I59">
        <v>55</v>
      </c>
      <c r="J59" s="4">
        <f>Table2[[#This Row],[Red]]/Table2[[#This Row],[Total]]</f>
        <v>0.21818181818181817</v>
      </c>
      <c r="K59" s="4">
        <f>Table2[[#This Row],[Blue]]/Table2[[#This Row],[Total]]</f>
        <v>0.27272727272727271</v>
      </c>
      <c r="L59" s="4">
        <f>Table2[[#This Row],[Green]]/Table2[[#This Row],[Total]]</f>
        <v>0.12727272727272726</v>
      </c>
      <c r="M59" s="4">
        <f>Table2[[#This Row],[Yellow]]/Table2[[#This Row],[Total]]</f>
        <v>0.16363636363636364</v>
      </c>
      <c r="N59" s="4">
        <f>Table2[[#This Row],[Orange]]/Table2[[#This Row],[Total]]</f>
        <v>9.0909090909090912E-2</v>
      </c>
      <c r="O59" s="4">
        <f>Table2[[#This Row],[Brown]]/Table2[[#This Row],[Total]]</f>
        <v>0.12727272727272726</v>
      </c>
      <c r="Q59" s="6">
        <f t="shared" si="3"/>
        <v>2.6709517568934693E-4</v>
      </c>
      <c r="R59" s="6">
        <f t="shared" si="4"/>
        <v>0.13</v>
      </c>
      <c r="S59" s="8">
        <f t="shared" si="5"/>
        <v>0.28037126676348562</v>
      </c>
      <c r="T59" s="6">
        <f t="shared" si="6"/>
        <v>4.8903694429011019E-2</v>
      </c>
      <c r="U59" s="6">
        <f t="shared" si="7"/>
        <v>0.24</v>
      </c>
      <c r="V59" s="8">
        <f t="shared" si="8"/>
        <v>0.37988281565831206</v>
      </c>
      <c r="W59" s="6">
        <f t="shared" si="9"/>
        <v>2.135383361833687E-2</v>
      </c>
      <c r="X59" s="6">
        <f t="shared" si="10"/>
        <v>0.16</v>
      </c>
      <c r="Y59" s="8">
        <f t="shared" si="11"/>
        <v>0.32733631994986545</v>
      </c>
      <c r="Z59" s="6">
        <f t="shared" si="12"/>
        <v>2.9218818762108689E-3</v>
      </c>
      <c r="AA59" s="6">
        <f t="shared" si="13"/>
        <v>0.14000000000000001</v>
      </c>
      <c r="AB59" s="8">
        <f t="shared" si="14"/>
        <v>0.28674990373053411</v>
      </c>
      <c r="AC59" s="6">
        <f t="shared" si="15"/>
        <v>2.3728527259920917E-2</v>
      </c>
      <c r="AD59" s="6">
        <f t="shared" si="16"/>
        <v>0.2</v>
      </c>
      <c r="AE59" s="8">
        <f t="shared" si="17"/>
        <v>0.33218836524233741</v>
      </c>
      <c r="AF59" s="6">
        <f t="shared" si="18"/>
        <v>4.8988207055677413E-3</v>
      </c>
      <c r="AG59" s="6">
        <f t="shared" si="19"/>
        <v>0.13</v>
      </c>
      <c r="AH59" s="6">
        <f t="shared" si="20"/>
        <v>0.29139747559072854</v>
      </c>
    </row>
    <row r="60" spans="2:34" x14ac:dyDescent="0.25">
      <c r="B60">
        <v>58</v>
      </c>
      <c r="C60">
        <v>7</v>
      </c>
      <c r="D60">
        <v>13</v>
      </c>
      <c r="E60">
        <v>11</v>
      </c>
      <c r="F60">
        <v>8</v>
      </c>
      <c r="G60">
        <v>9</v>
      </c>
      <c r="H60">
        <v>7</v>
      </c>
      <c r="I60">
        <v>55</v>
      </c>
      <c r="J60" s="4">
        <f>Table2[[#This Row],[Red]]/Table2[[#This Row],[Total]]</f>
        <v>0.12727272727272726</v>
      </c>
      <c r="K60" s="4">
        <f>Table2[[#This Row],[Blue]]/Table2[[#This Row],[Total]]</f>
        <v>0.23636363636363636</v>
      </c>
      <c r="L60" s="4">
        <f>Table2[[#This Row],[Green]]/Table2[[#This Row],[Total]]</f>
        <v>0.2</v>
      </c>
      <c r="M60" s="4">
        <f>Table2[[#This Row],[Yellow]]/Table2[[#This Row],[Total]]</f>
        <v>0.14545454545454545</v>
      </c>
      <c r="N60" s="4">
        <f>Table2[[#This Row],[Orange]]/Table2[[#This Row],[Total]]</f>
        <v>0.16363636363636364</v>
      </c>
      <c r="O60" s="4">
        <f>Table2[[#This Row],[Brown]]/Table2[[#This Row],[Total]]</f>
        <v>0.12727272727272726</v>
      </c>
      <c r="Q60" s="6">
        <f t="shared" si="3"/>
        <v>2.6709517568934693E-4</v>
      </c>
      <c r="R60" s="6">
        <f t="shared" si="4"/>
        <v>0.13</v>
      </c>
      <c r="S60" s="8">
        <f t="shared" si="5"/>
        <v>0.28037126676348562</v>
      </c>
      <c r="T60" s="6">
        <f t="shared" si="6"/>
        <v>4.8903694429011019E-2</v>
      </c>
      <c r="U60" s="6">
        <f t="shared" si="7"/>
        <v>0.24</v>
      </c>
      <c r="V60" s="8">
        <f t="shared" si="8"/>
        <v>0.37988281565831206</v>
      </c>
      <c r="W60" s="6">
        <f t="shared" si="9"/>
        <v>2.135383361833687E-2</v>
      </c>
      <c r="X60" s="6">
        <f t="shared" si="10"/>
        <v>0.16</v>
      </c>
      <c r="Y60" s="8">
        <f t="shared" si="11"/>
        <v>0.32733631994986545</v>
      </c>
      <c r="Z60" s="6">
        <f t="shared" si="12"/>
        <v>2.9218818762108689E-3</v>
      </c>
      <c r="AA60" s="6">
        <f t="shared" si="13"/>
        <v>0.14000000000000001</v>
      </c>
      <c r="AB60" s="8">
        <f t="shared" si="14"/>
        <v>0.28674990373053411</v>
      </c>
      <c r="AC60" s="6">
        <f t="shared" si="15"/>
        <v>2.3728527259920917E-2</v>
      </c>
      <c r="AD60" s="6">
        <f t="shared" si="16"/>
        <v>0.2</v>
      </c>
      <c r="AE60" s="8">
        <f t="shared" si="17"/>
        <v>0.33218836524233741</v>
      </c>
      <c r="AF60" s="6">
        <f t="shared" si="18"/>
        <v>4.8988207055677413E-3</v>
      </c>
      <c r="AG60" s="6">
        <f t="shared" si="19"/>
        <v>0.13</v>
      </c>
      <c r="AH60" s="6">
        <f t="shared" si="20"/>
        <v>0.29139747559072854</v>
      </c>
    </row>
    <row r="61" spans="2:34" x14ac:dyDescent="0.25">
      <c r="B61">
        <v>59</v>
      </c>
      <c r="C61">
        <v>4</v>
      </c>
      <c r="D61">
        <v>19</v>
      </c>
      <c r="E61">
        <v>8</v>
      </c>
      <c r="F61">
        <v>7</v>
      </c>
      <c r="G61">
        <v>8</v>
      </c>
      <c r="H61">
        <v>10</v>
      </c>
      <c r="I61">
        <v>56</v>
      </c>
      <c r="J61" s="4">
        <f>Table2[[#This Row],[Red]]/Table2[[#This Row],[Total]]</f>
        <v>7.1428571428571425E-2</v>
      </c>
      <c r="K61" s="4">
        <f>Table2[[#This Row],[Blue]]/Table2[[#This Row],[Total]]</f>
        <v>0.3392857142857143</v>
      </c>
      <c r="L61" s="4">
        <f>Table2[[#This Row],[Green]]/Table2[[#This Row],[Total]]</f>
        <v>0.14285714285714285</v>
      </c>
      <c r="M61" s="4">
        <f>Table2[[#This Row],[Yellow]]/Table2[[#This Row],[Total]]</f>
        <v>0.125</v>
      </c>
      <c r="N61" s="4">
        <f>Table2[[#This Row],[Orange]]/Table2[[#This Row],[Total]]</f>
        <v>0.14285714285714285</v>
      </c>
      <c r="O61" s="4">
        <f>Table2[[#This Row],[Brown]]/Table2[[#This Row],[Total]]</f>
        <v>0.17857142857142858</v>
      </c>
      <c r="Q61" s="6">
        <f t="shared" si="3"/>
        <v>2.6709517568934693E-4</v>
      </c>
      <c r="R61" s="6">
        <f t="shared" si="4"/>
        <v>0.13</v>
      </c>
      <c r="S61" s="8">
        <f t="shared" si="5"/>
        <v>0.28037126676348562</v>
      </c>
      <c r="T61" s="6">
        <f t="shared" si="6"/>
        <v>4.8903694429011019E-2</v>
      </c>
      <c r="U61" s="6">
        <f t="shared" si="7"/>
        <v>0.24</v>
      </c>
      <c r="V61" s="8">
        <f t="shared" si="8"/>
        <v>0.37988281565831206</v>
      </c>
      <c r="W61" s="6">
        <f t="shared" si="9"/>
        <v>2.135383361833687E-2</v>
      </c>
      <c r="X61" s="6">
        <f t="shared" si="10"/>
        <v>0.16</v>
      </c>
      <c r="Y61" s="8">
        <f t="shared" si="11"/>
        <v>0.32733631994986545</v>
      </c>
      <c r="Z61" s="6">
        <f t="shared" si="12"/>
        <v>2.9218818762108689E-3</v>
      </c>
      <c r="AA61" s="6">
        <f t="shared" si="13"/>
        <v>0.14000000000000001</v>
      </c>
      <c r="AB61" s="8">
        <f t="shared" si="14"/>
        <v>0.28674990373053411</v>
      </c>
      <c r="AC61" s="6">
        <f t="shared" si="15"/>
        <v>2.3728527259920917E-2</v>
      </c>
      <c r="AD61" s="6">
        <f t="shared" si="16"/>
        <v>0.2</v>
      </c>
      <c r="AE61" s="8">
        <f t="shared" si="17"/>
        <v>0.33218836524233741</v>
      </c>
      <c r="AF61" s="6">
        <f t="shared" si="18"/>
        <v>4.8988207055677413E-3</v>
      </c>
      <c r="AG61" s="6">
        <f t="shared" si="19"/>
        <v>0.13</v>
      </c>
      <c r="AH61" s="6">
        <f t="shared" si="20"/>
        <v>0.29139747559072854</v>
      </c>
    </row>
    <row r="62" spans="2:34" x14ac:dyDescent="0.25">
      <c r="B62">
        <v>60</v>
      </c>
      <c r="C62">
        <v>10</v>
      </c>
      <c r="D62">
        <v>11</v>
      </c>
      <c r="E62">
        <v>9</v>
      </c>
      <c r="F62">
        <v>8</v>
      </c>
      <c r="G62">
        <v>10</v>
      </c>
      <c r="H62">
        <v>6</v>
      </c>
      <c r="I62">
        <v>54</v>
      </c>
      <c r="J62" s="4">
        <f>Table2[[#This Row],[Red]]/Table2[[#This Row],[Total]]</f>
        <v>0.18518518518518517</v>
      </c>
      <c r="K62" s="4">
        <f>Table2[[#This Row],[Blue]]/Table2[[#This Row],[Total]]</f>
        <v>0.20370370370370369</v>
      </c>
      <c r="L62" s="4">
        <f>Table2[[#This Row],[Green]]/Table2[[#This Row],[Total]]</f>
        <v>0.16666666666666666</v>
      </c>
      <c r="M62" s="4">
        <f>Table2[[#This Row],[Yellow]]/Table2[[#This Row],[Total]]</f>
        <v>0.14814814814814814</v>
      </c>
      <c r="N62" s="4">
        <f>Table2[[#This Row],[Orange]]/Table2[[#This Row],[Total]]</f>
        <v>0.18518518518518517</v>
      </c>
      <c r="O62" s="4">
        <f>Table2[[#This Row],[Brown]]/Table2[[#This Row],[Total]]</f>
        <v>0.1111111111111111</v>
      </c>
      <c r="Q62" s="6">
        <f t="shared" si="3"/>
        <v>2.6709517568934693E-4</v>
      </c>
      <c r="R62" s="6">
        <f t="shared" si="4"/>
        <v>0.13</v>
      </c>
      <c r="S62" s="8">
        <f t="shared" si="5"/>
        <v>0.28037126676348562</v>
      </c>
      <c r="T62" s="6">
        <f t="shared" si="6"/>
        <v>4.8903694429011019E-2</v>
      </c>
      <c r="U62" s="6">
        <f t="shared" si="7"/>
        <v>0.24</v>
      </c>
      <c r="V62" s="8">
        <f t="shared" si="8"/>
        <v>0.37988281565831206</v>
      </c>
      <c r="W62" s="6">
        <f t="shared" si="9"/>
        <v>2.135383361833687E-2</v>
      </c>
      <c r="X62" s="6">
        <f t="shared" si="10"/>
        <v>0.16</v>
      </c>
      <c r="Y62" s="8">
        <f t="shared" si="11"/>
        <v>0.32733631994986545</v>
      </c>
      <c r="Z62" s="6">
        <f t="shared" si="12"/>
        <v>2.9218818762108689E-3</v>
      </c>
      <c r="AA62" s="6">
        <f t="shared" si="13"/>
        <v>0.14000000000000001</v>
      </c>
      <c r="AB62" s="8">
        <f t="shared" si="14"/>
        <v>0.28674990373053411</v>
      </c>
      <c r="AC62" s="6">
        <f t="shared" si="15"/>
        <v>2.3728527259920917E-2</v>
      </c>
      <c r="AD62" s="6">
        <f t="shared" si="16"/>
        <v>0.2</v>
      </c>
      <c r="AE62" s="8">
        <f t="shared" si="17"/>
        <v>0.33218836524233741</v>
      </c>
      <c r="AF62" s="6">
        <f t="shared" si="18"/>
        <v>4.8988207055677413E-3</v>
      </c>
      <c r="AG62" s="6">
        <f t="shared" si="19"/>
        <v>0.13</v>
      </c>
      <c r="AH62" s="6">
        <f t="shared" si="20"/>
        <v>0.29139747559072854</v>
      </c>
    </row>
    <row r="63" spans="2:34" x14ac:dyDescent="0.25">
      <c r="B63">
        <f>MAX(Table2[M&amp;M Bag])</f>
        <v>60</v>
      </c>
      <c r="C63">
        <f>SUBTOTAL(109,Table2[Red])</f>
        <v>466</v>
      </c>
      <c r="D63">
        <f>SUM(Table2[Blue])</f>
        <v>712</v>
      </c>
      <c r="E63">
        <f>SUM(Table2[Green])</f>
        <v>579</v>
      </c>
      <c r="F63">
        <f>SUM(Table2[Yellow])</f>
        <v>481</v>
      </c>
      <c r="G63">
        <f>SUBTOTAL(109,Table2[Orange])</f>
        <v>591</v>
      </c>
      <c r="H63">
        <f>SUBTOTAL(109,Table2[Brown])</f>
        <v>492</v>
      </c>
      <c r="I63">
        <f>SUBTOTAL(109,Table2[Total])</f>
        <v>3321</v>
      </c>
      <c r="J63" s="4"/>
      <c r="K63" s="4"/>
      <c r="L63" s="4"/>
      <c r="M63" s="4"/>
      <c r="N63" s="4"/>
      <c r="O63" s="4"/>
      <c r="Q63" s="6">
        <f t="shared" si="3"/>
        <v>2.6709517568934693E-4</v>
      </c>
      <c r="R63" s="6">
        <f t="shared" si="4"/>
        <v>0.13</v>
      </c>
      <c r="S63" s="8">
        <f t="shared" si="5"/>
        <v>0.28037126676348562</v>
      </c>
      <c r="T63" s="6">
        <f t="shared" si="6"/>
        <v>4.8903694429011019E-2</v>
      </c>
      <c r="U63" s="6">
        <f t="shared" si="7"/>
        <v>0.24</v>
      </c>
      <c r="V63" s="8">
        <f t="shared" si="8"/>
        <v>0.37988281565831206</v>
      </c>
      <c r="W63" s="6">
        <f t="shared" si="9"/>
        <v>2.135383361833687E-2</v>
      </c>
      <c r="X63" s="6">
        <f t="shared" si="10"/>
        <v>0.16</v>
      </c>
      <c r="Y63" s="8">
        <f t="shared" si="11"/>
        <v>0.32733631994986545</v>
      </c>
      <c r="Z63" s="6">
        <f t="shared" si="12"/>
        <v>2.9218818762108689E-3</v>
      </c>
      <c r="AA63" s="6">
        <f t="shared" si="13"/>
        <v>0.14000000000000001</v>
      </c>
      <c r="AB63" s="8">
        <f t="shared" si="14"/>
        <v>0.28674990373053411</v>
      </c>
      <c r="AC63" s="6">
        <f t="shared" si="15"/>
        <v>2.3728527259920917E-2</v>
      </c>
      <c r="AD63" s="6">
        <f t="shared" si="16"/>
        <v>0.2</v>
      </c>
      <c r="AE63" s="8">
        <f t="shared" si="17"/>
        <v>0.33218836524233741</v>
      </c>
      <c r="AF63" s="6">
        <f t="shared" si="18"/>
        <v>4.8988207055677413E-3</v>
      </c>
      <c r="AG63" s="6">
        <f t="shared" si="19"/>
        <v>0.13</v>
      </c>
      <c r="AH63" s="6">
        <f t="shared" si="20"/>
        <v>0.29139747559072854</v>
      </c>
    </row>
    <row r="64" spans="2:34" x14ac:dyDescent="0.25">
      <c r="Q64" s="6">
        <f t="shared" si="3"/>
        <v>2.6709517568934693E-4</v>
      </c>
      <c r="R64" s="6">
        <f t="shared" si="4"/>
        <v>0.13</v>
      </c>
      <c r="S64" s="8">
        <f t="shared" si="5"/>
        <v>0.28037126676348562</v>
      </c>
      <c r="T64" s="6">
        <f t="shared" si="6"/>
        <v>4.8903694429011019E-2</v>
      </c>
      <c r="U64" s="6">
        <f t="shared" si="7"/>
        <v>0.24</v>
      </c>
      <c r="V64" s="8">
        <f t="shared" si="8"/>
        <v>0.37988281565831206</v>
      </c>
      <c r="W64" s="6">
        <f t="shared" si="9"/>
        <v>2.135383361833687E-2</v>
      </c>
      <c r="X64" s="6">
        <f t="shared" si="10"/>
        <v>0.16</v>
      </c>
      <c r="Y64" s="8">
        <f t="shared" si="11"/>
        <v>0.32733631994986545</v>
      </c>
      <c r="Z64" s="6">
        <f t="shared" si="12"/>
        <v>2.9218818762108689E-3</v>
      </c>
      <c r="AA64" s="6">
        <f t="shared" si="13"/>
        <v>0.14000000000000001</v>
      </c>
      <c r="AB64" s="8">
        <f t="shared" si="14"/>
        <v>0.28674990373053411</v>
      </c>
      <c r="AC64" s="6">
        <f t="shared" si="15"/>
        <v>2.3728527259920917E-2</v>
      </c>
      <c r="AD64" s="6">
        <f t="shared" si="16"/>
        <v>0.2</v>
      </c>
      <c r="AE64" s="8">
        <f t="shared" si="17"/>
        <v>0.33218836524233741</v>
      </c>
      <c r="AF64" s="6">
        <f t="shared" si="18"/>
        <v>4.8988207055677413E-3</v>
      </c>
      <c r="AG64" s="6">
        <f t="shared" si="19"/>
        <v>0.13</v>
      </c>
      <c r="AH64" s="6">
        <f t="shared" si="20"/>
        <v>0.29139747559072854</v>
      </c>
    </row>
    <row r="65" spans="17:34" x14ac:dyDescent="0.25">
      <c r="Q65" s="6">
        <f t="shared" si="3"/>
        <v>2.6709517568934693E-4</v>
      </c>
      <c r="R65" s="6">
        <f t="shared" si="4"/>
        <v>0.13</v>
      </c>
      <c r="S65" s="8">
        <f t="shared" si="5"/>
        <v>0.28037126676348562</v>
      </c>
      <c r="T65" s="6">
        <f t="shared" si="6"/>
        <v>4.8903694429011019E-2</v>
      </c>
      <c r="U65" s="6">
        <f t="shared" si="7"/>
        <v>0.24</v>
      </c>
      <c r="V65" s="8">
        <f t="shared" si="8"/>
        <v>0.37988281565831206</v>
      </c>
      <c r="W65" s="6">
        <f t="shared" si="9"/>
        <v>2.135383361833687E-2</v>
      </c>
      <c r="X65" s="6">
        <f t="shared" si="10"/>
        <v>0.16</v>
      </c>
      <c r="Y65" s="8">
        <f t="shared" si="11"/>
        <v>0.32733631994986545</v>
      </c>
      <c r="Z65" s="6">
        <f t="shared" si="12"/>
        <v>2.9218818762108689E-3</v>
      </c>
      <c r="AA65" s="6">
        <f t="shared" si="13"/>
        <v>0.14000000000000001</v>
      </c>
      <c r="AB65" s="8">
        <f t="shared" si="14"/>
        <v>0.28674990373053411</v>
      </c>
      <c r="AC65" s="6">
        <f t="shared" si="15"/>
        <v>2.3728527259920917E-2</v>
      </c>
      <c r="AD65" s="6">
        <f t="shared" si="16"/>
        <v>0.2</v>
      </c>
      <c r="AE65" s="8">
        <f t="shared" si="17"/>
        <v>0.33218836524233741</v>
      </c>
      <c r="AF65" s="6">
        <f t="shared" si="18"/>
        <v>4.8988207055677413E-3</v>
      </c>
      <c r="AG65" s="6">
        <f t="shared" si="19"/>
        <v>0.13</v>
      </c>
      <c r="AH65" s="6">
        <f t="shared" si="20"/>
        <v>0.29139747559072854</v>
      </c>
    </row>
    <row r="66" spans="17:34" x14ac:dyDescent="0.25">
      <c r="Q66" s="6">
        <f t="shared" si="3"/>
        <v>2.6709517568934693E-4</v>
      </c>
      <c r="R66" s="6">
        <f t="shared" si="4"/>
        <v>0.13</v>
      </c>
      <c r="S66" s="8">
        <f t="shared" si="5"/>
        <v>0.28037126676348562</v>
      </c>
      <c r="T66" s="6">
        <f t="shared" si="6"/>
        <v>4.8903694429011019E-2</v>
      </c>
      <c r="U66" s="6">
        <f t="shared" si="7"/>
        <v>0.24</v>
      </c>
      <c r="V66" s="8">
        <f t="shared" si="8"/>
        <v>0.37988281565831206</v>
      </c>
      <c r="W66" s="6">
        <f t="shared" si="9"/>
        <v>2.135383361833687E-2</v>
      </c>
      <c r="X66" s="6">
        <f t="shared" si="10"/>
        <v>0.16</v>
      </c>
      <c r="Y66" s="8">
        <f t="shared" si="11"/>
        <v>0.32733631994986545</v>
      </c>
      <c r="Z66" s="6">
        <f t="shared" si="12"/>
        <v>2.9218818762108689E-3</v>
      </c>
      <c r="AA66" s="6">
        <f t="shared" si="13"/>
        <v>0.14000000000000001</v>
      </c>
      <c r="AB66" s="8">
        <f t="shared" si="14"/>
        <v>0.28674990373053411</v>
      </c>
      <c r="AC66" s="6">
        <f t="shared" si="15"/>
        <v>2.3728527259920917E-2</v>
      </c>
      <c r="AD66" s="6">
        <f t="shared" si="16"/>
        <v>0.2</v>
      </c>
      <c r="AE66" s="8">
        <f t="shared" si="17"/>
        <v>0.33218836524233741</v>
      </c>
      <c r="AF66" s="6">
        <f t="shared" si="18"/>
        <v>4.8988207055677413E-3</v>
      </c>
      <c r="AG66" s="6">
        <f t="shared" si="19"/>
        <v>0.13</v>
      </c>
      <c r="AH66" s="6">
        <f t="shared" si="20"/>
        <v>0.29139747559072854</v>
      </c>
    </row>
    <row r="67" spans="17:34" x14ac:dyDescent="0.25">
      <c r="Q67" s="6">
        <f t="shared" si="3"/>
        <v>2.6709517568934693E-4</v>
      </c>
      <c r="R67" s="6">
        <f t="shared" si="4"/>
        <v>0.13</v>
      </c>
      <c r="S67" s="8">
        <f t="shared" si="5"/>
        <v>0.28037126676348562</v>
      </c>
      <c r="T67" s="6">
        <f t="shared" si="6"/>
        <v>4.8903694429011019E-2</v>
      </c>
      <c r="U67" s="6">
        <f t="shared" si="7"/>
        <v>0.24</v>
      </c>
      <c r="V67" s="8">
        <f t="shared" si="8"/>
        <v>0.37988281565831206</v>
      </c>
      <c r="W67" s="6">
        <f t="shared" si="9"/>
        <v>2.135383361833687E-2</v>
      </c>
      <c r="X67" s="6">
        <f t="shared" si="10"/>
        <v>0.16</v>
      </c>
      <c r="Y67" s="8">
        <f t="shared" si="11"/>
        <v>0.32733631994986545</v>
      </c>
      <c r="Z67" s="6">
        <f t="shared" si="12"/>
        <v>2.9218818762108689E-3</v>
      </c>
      <c r="AA67" s="6">
        <f t="shared" si="13"/>
        <v>0.14000000000000001</v>
      </c>
      <c r="AB67" s="8">
        <f t="shared" si="14"/>
        <v>0.28674990373053411</v>
      </c>
      <c r="AC67" s="6">
        <f t="shared" si="15"/>
        <v>2.3728527259920917E-2</v>
      </c>
      <c r="AD67" s="6">
        <f t="shared" si="16"/>
        <v>0.2</v>
      </c>
      <c r="AE67" s="8">
        <f t="shared" si="17"/>
        <v>0.33218836524233741</v>
      </c>
      <c r="AF67" s="6">
        <f t="shared" si="18"/>
        <v>4.8988207055677413E-3</v>
      </c>
      <c r="AG67" s="6">
        <f t="shared" si="19"/>
        <v>0.13</v>
      </c>
      <c r="AH67" s="6">
        <f t="shared" si="20"/>
        <v>0.29139747559072854</v>
      </c>
    </row>
    <row r="68" spans="17:34" x14ac:dyDescent="0.25">
      <c r="Q68" s="6">
        <f t="shared" si="3"/>
        <v>2.6709517568934693E-4</v>
      </c>
      <c r="R68" s="6">
        <f t="shared" si="4"/>
        <v>0.13</v>
      </c>
      <c r="S68" s="8">
        <f t="shared" si="5"/>
        <v>0.28037126676348562</v>
      </c>
      <c r="T68" s="6">
        <f t="shared" si="6"/>
        <v>4.8903694429011019E-2</v>
      </c>
      <c r="U68" s="6">
        <f t="shared" si="7"/>
        <v>0.24</v>
      </c>
      <c r="V68" s="8">
        <f t="shared" si="8"/>
        <v>0.37988281565831206</v>
      </c>
      <c r="W68" s="6">
        <f t="shared" si="9"/>
        <v>2.135383361833687E-2</v>
      </c>
      <c r="X68" s="6">
        <f t="shared" si="10"/>
        <v>0.16</v>
      </c>
      <c r="Y68" s="8">
        <f t="shared" si="11"/>
        <v>0.32733631994986545</v>
      </c>
      <c r="Z68" s="6">
        <f t="shared" si="12"/>
        <v>2.9218818762108689E-3</v>
      </c>
      <c r="AA68" s="6">
        <f t="shared" si="13"/>
        <v>0.14000000000000001</v>
      </c>
      <c r="AB68" s="8">
        <f t="shared" si="14"/>
        <v>0.28674990373053411</v>
      </c>
      <c r="AC68" s="6">
        <f t="shared" si="15"/>
        <v>2.3728527259920917E-2</v>
      </c>
      <c r="AD68" s="6">
        <f t="shared" si="16"/>
        <v>0.2</v>
      </c>
      <c r="AE68" s="8">
        <f t="shared" si="17"/>
        <v>0.33218836524233741</v>
      </c>
      <c r="AF68" s="6">
        <f t="shared" si="18"/>
        <v>4.8988207055677413E-3</v>
      </c>
      <c r="AG68" s="6">
        <f t="shared" si="19"/>
        <v>0.13</v>
      </c>
      <c r="AH68" s="6">
        <f t="shared" si="20"/>
        <v>0.29139747559072854</v>
      </c>
    </row>
    <row r="69" spans="17:34" x14ac:dyDescent="0.25">
      <c r="Q69" s="6">
        <f t="shared" si="3"/>
        <v>2.6709517568934693E-4</v>
      </c>
      <c r="R69" s="6">
        <f t="shared" si="4"/>
        <v>0.13</v>
      </c>
      <c r="S69" s="8">
        <f t="shared" si="5"/>
        <v>0.28037126676348562</v>
      </c>
      <c r="T69" s="6">
        <f t="shared" si="6"/>
        <v>4.8903694429011019E-2</v>
      </c>
      <c r="U69" s="6">
        <f t="shared" si="7"/>
        <v>0.24</v>
      </c>
      <c r="V69" s="8">
        <f t="shared" si="8"/>
        <v>0.37988281565831206</v>
      </c>
      <c r="W69" s="6">
        <f t="shared" si="9"/>
        <v>2.135383361833687E-2</v>
      </c>
      <c r="X69" s="6">
        <f t="shared" si="10"/>
        <v>0.16</v>
      </c>
      <c r="Y69" s="8">
        <f t="shared" si="11"/>
        <v>0.32733631994986545</v>
      </c>
      <c r="Z69" s="6">
        <f t="shared" si="12"/>
        <v>2.9218818762108689E-3</v>
      </c>
      <c r="AA69" s="6">
        <f t="shared" si="13"/>
        <v>0.14000000000000001</v>
      </c>
      <c r="AB69" s="8">
        <f t="shared" si="14"/>
        <v>0.28674990373053411</v>
      </c>
      <c r="AC69" s="6">
        <f t="shared" si="15"/>
        <v>2.3728527259920917E-2</v>
      </c>
      <c r="AD69" s="6">
        <f t="shared" si="16"/>
        <v>0.2</v>
      </c>
      <c r="AE69" s="8">
        <f t="shared" si="17"/>
        <v>0.33218836524233741</v>
      </c>
      <c r="AF69" s="6">
        <f t="shared" si="18"/>
        <v>4.8988207055677413E-3</v>
      </c>
      <c r="AG69" s="6">
        <f t="shared" si="19"/>
        <v>0.13</v>
      </c>
      <c r="AH69" s="6">
        <f t="shared" si="20"/>
        <v>0.29139747559072854</v>
      </c>
    </row>
    <row r="70" spans="17:34" x14ac:dyDescent="0.25">
      <c r="Q70" s="6">
        <f t="shared" si="3"/>
        <v>2.6709517568934693E-4</v>
      </c>
      <c r="R70" s="6">
        <f t="shared" si="4"/>
        <v>0.13</v>
      </c>
      <c r="S70" s="8">
        <f t="shared" si="5"/>
        <v>0.28037126676348562</v>
      </c>
      <c r="T70" s="6">
        <f t="shared" si="6"/>
        <v>4.8903694429011019E-2</v>
      </c>
      <c r="U70" s="6">
        <f t="shared" si="7"/>
        <v>0.24</v>
      </c>
      <c r="V70" s="8">
        <f t="shared" si="8"/>
        <v>0.37988281565831206</v>
      </c>
      <c r="W70" s="6">
        <f t="shared" si="9"/>
        <v>2.135383361833687E-2</v>
      </c>
      <c r="X70" s="6">
        <f t="shared" si="10"/>
        <v>0.16</v>
      </c>
      <c r="Y70" s="8">
        <f t="shared" si="11"/>
        <v>0.32733631994986545</v>
      </c>
      <c r="Z70" s="6">
        <f t="shared" si="12"/>
        <v>2.9218818762108689E-3</v>
      </c>
      <c r="AA70" s="6">
        <f t="shared" si="13"/>
        <v>0.14000000000000001</v>
      </c>
      <c r="AB70" s="8">
        <f t="shared" si="14"/>
        <v>0.28674990373053411</v>
      </c>
      <c r="AC70" s="6">
        <f t="shared" si="15"/>
        <v>2.3728527259920917E-2</v>
      </c>
      <c r="AD70" s="6">
        <f t="shared" si="16"/>
        <v>0.2</v>
      </c>
      <c r="AE70" s="8">
        <f t="shared" si="17"/>
        <v>0.33218836524233741</v>
      </c>
      <c r="AF70" s="6">
        <f t="shared" si="18"/>
        <v>4.8988207055677413E-3</v>
      </c>
      <c r="AG70" s="6">
        <f t="shared" si="19"/>
        <v>0.13</v>
      </c>
      <c r="AH70" s="6">
        <f t="shared" si="20"/>
        <v>0.29139747559072854</v>
      </c>
    </row>
    <row r="71" spans="17:34" x14ac:dyDescent="0.25">
      <c r="Q71" s="6">
        <f t="shared" si="3"/>
        <v>2.6709517568934693E-4</v>
      </c>
      <c r="R71" s="6">
        <f t="shared" si="4"/>
        <v>0.13</v>
      </c>
      <c r="S71" s="8">
        <f t="shared" si="5"/>
        <v>0.28037126676348562</v>
      </c>
      <c r="T71" s="6">
        <f t="shared" si="6"/>
        <v>4.8903694429011019E-2</v>
      </c>
      <c r="U71" s="6">
        <f t="shared" si="7"/>
        <v>0.24</v>
      </c>
      <c r="V71" s="8">
        <f t="shared" si="8"/>
        <v>0.37988281565831206</v>
      </c>
      <c r="W71" s="6">
        <f t="shared" si="9"/>
        <v>2.135383361833687E-2</v>
      </c>
      <c r="X71" s="6">
        <f t="shared" si="10"/>
        <v>0.16</v>
      </c>
      <c r="Y71" s="8">
        <f t="shared" si="11"/>
        <v>0.32733631994986545</v>
      </c>
      <c r="Z71" s="6">
        <f t="shared" si="12"/>
        <v>2.9218818762108689E-3</v>
      </c>
      <c r="AA71" s="6">
        <f t="shared" si="13"/>
        <v>0.14000000000000001</v>
      </c>
      <c r="AB71" s="8">
        <f t="shared" si="14"/>
        <v>0.28674990373053411</v>
      </c>
      <c r="AC71" s="6">
        <f t="shared" si="15"/>
        <v>2.3728527259920917E-2</v>
      </c>
      <c r="AD71" s="6">
        <f t="shared" si="16"/>
        <v>0.2</v>
      </c>
      <c r="AE71" s="8">
        <f t="shared" si="17"/>
        <v>0.33218836524233741</v>
      </c>
      <c r="AF71" s="6">
        <f t="shared" si="18"/>
        <v>4.8988207055677413E-3</v>
      </c>
      <c r="AG71" s="6">
        <f t="shared" si="19"/>
        <v>0.13</v>
      </c>
      <c r="AH71" s="6">
        <f t="shared" si="20"/>
        <v>0.29139747559072854</v>
      </c>
    </row>
    <row r="72" spans="17:34" x14ac:dyDescent="0.25">
      <c r="Q72" s="6">
        <f t="shared" si="3"/>
        <v>2.6709517568934693E-4</v>
      </c>
      <c r="R72" s="6">
        <f t="shared" si="4"/>
        <v>0.13</v>
      </c>
      <c r="S72" s="8">
        <f t="shared" si="5"/>
        <v>0.28037126676348562</v>
      </c>
      <c r="T72" s="6">
        <f t="shared" si="6"/>
        <v>4.8903694429011019E-2</v>
      </c>
      <c r="U72" s="6">
        <f t="shared" si="7"/>
        <v>0.24</v>
      </c>
      <c r="V72" s="8">
        <f t="shared" si="8"/>
        <v>0.37988281565831206</v>
      </c>
      <c r="W72" s="6">
        <f t="shared" si="9"/>
        <v>2.135383361833687E-2</v>
      </c>
      <c r="X72" s="6">
        <f t="shared" si="10"/>
        <v>0.16</v>
      </c>
      <c r="Y72" s="8">
        <f t="shared" si="11"/>
        <v>0.32733631994986545</v>
      </c>
      <c r="Z72" s="6">
        <f t="shared" si="12"/>
        <v>2.9218818762108689E-3</v>
      </c>
      <c r="AA72" s="6">
        <f t="shared" si="13"/>
        <v>0.14000000000000001</v>
      </c>
      <c r="AB72" s="8">
        <f t="shared" si="14"/>
        <v>0.28674990373053411</v>
      </c>
      <c r="AC72" s="6">
        <f t="shared" si="15"/>
        <v>2.3728527259920917E-2</v>
      </c>
      <c r="AD72" s="6">
        <f t="shared" si="16"/>
        <v>0.2</v>
      </c>
      <c r="AE72" s="8">
        <f t="shared" si="17"/>
        <v>0.33218836524233741</v>
      </c>
      <c r="AF72" s="6">
        <f t="shared" si="18"/>
        <v>4.8988207055677413E-3</v>
      </c>
      <c r="AG72" s="6">
        <f t="shared" si="19"/>
        <v>0.13</v>
      </c>
      <c r="AH72" s="6">
        <f t="shared" si="20"/>
        <v>0.29139747559072854</v>
      </c>
    </row>
    <row r="73" spans="17:34" x14ac:dyDescent="0.25">
      <c r="Q73" s="6">
        <f t="shared" si="3"/>
        <v>2.6709517568934693E-4</v>
      </c>
      <c r="R73" s="6">
        <f t="shared" si="4"/>
        <v>0.13</v>
      </c>
      <c r="S73" s="8">
        <f t="shared" si="5"/>
        <v>0.28037126676348562</v>
      </c>
      <c r="T73" s="6">
        <f t="shared" si="6"/>
        <v>4.8903694429011019E-2</v>
      </c>
      <c r="U73" s="6">
        <f t="shared" si="7"/>
        <v>0.24</v>
      </c>
      <c r="V73" s="8">
        <f t="shared" si="8"/>
        <v>0.37988281565831206</v>
      </c>
      <c r="W73" s="6">
        <f t="shared" si="9"/>
        <v>2.135383361833687E-2</v>
      </c>
      <c r="X73" s="6">
        <f t="shared" si="10"/>
        <v>0.16</v>
      </c>
      <c r="Y73" s="8">
        <f t="shared" si="11"/>
        <v>0.32733631994986545</v>
      </c>
      <c r="Z73" s="6">
        <f t="shared" si="12"/>
        <v>2.9218818762108689E-3</v>
      </c>
      <c r="AA73" s="6">
        <f t="shared" si="13"/>
        <v>0.14000000000000001</v>
      </c>
      <c r="AB73" s="8">
        <f t="shared" si="14"/>
        <v>0.28674990373053411</v>
      </c>
      <c r="AC73" s="6">
        <f t="shared" si="15"/>
        <v>2.3728527259920917E-2</v>
      </c>
      <c r="AD73" s="6">
        <f t="shared" si="16"/>
        <v>0.2</v>
      </c>
      <c r="AE73" s="8">
        <f t="shared" si="17"/>
        <v>0.33218836524233741</v>
      </c>
      <c r="AF73" s="6">
        <f t="shared" si="18"/>
        <v>4.8988207055677413E-3</v>
      </c>
      <c r="AG73" s="6">
        <f t="shared" si="19"/>
        <v>0.13</v>
      </c>
      <c r="AH73" s="6">
        <f t="shared" si="20"/>
        <v>0.29139747559072854</v>
      </c>
    </row>
    <row r="74" spans="17:34" x14ac:dyDescent="0.25">
      <c r="Q74" s="6">
        <f t="shared" si="3"/>
        <v>2.6709517568934693E-4</v>
      </c>
      <c r="R74" s="6">
        <f t="shared" si="4"/>
        <v>0.13</v>
      </c>
      <c r="S74" s="8">
        <f t="shared" si="5"/>
        <v>0.28037126676348562</v>
      </c>
      <c r="T74" s="6">
        <f t="shared" si="6"/>
        <v>4.8903694429011019E-2</v>
      </c>
      <c r="U74" s="6">
        <f t="shared" si="7"/>
        <v>0.24</v>
      </c>
      <c r="V74" s="8">
        <f t="shared" si="8"/>
        <v>0.37988281565831206</v>
      </c>
      <c r="W74" s="6">
        <f t="shared" si="9"/>
        <v>2.135383361833687E-2</v>
      </c>
      <c r="X74" s="6">
        <f t="shared" si="10"/>
        <v>0.16</v>
      </c>
      <c r="Y74" s="8">
        <f t="shared" si="11"/>
        <v>0.32733631994986545</v>
      </c>
      <c r="Z74" s="6">
        <f t="shared" si="12"/>
        <v>2.9218818762108689E-3</v>
      </c>
      <c r="AA74" s="6">
        <f t="shared" si="13"/>
        <v>0.14000000000000001</v>
      </c>
      <c r="AB74" s="8">
        <f t="shared" si="14"/>
        <v>0.28674990373053411</v>
      </c>
      <c r="AC74" s="6">
        <f t="shared" si="15"/>
        <v>2.3728527259920917E-2</v>
      </c>
      <c r="AD74" s="6">
        <f t="shared" si="16"/>
        <v>0.2</v>
      </c>
      <c r="AE74" s="8">
        <f t="shared" si="17"/>
        <v>0.33218836524233741</v>
      </c>
      <c r="AF74" s="6">
        <f t="shared" si="18"/>
        <v>4.8988207055677413E-3</v>
      </c>
      <c r="AG74" s="6">
        <f t="shared" si="19"/>
        <v>0.13</v>
      </c>
      <c r="AH74" s="6">
        <f t="shared" si="20"/>
        <v>0.29139747559072854</v>
      </c>
    </row>
    <row r="75" spans="17:34" x14ac:dyDescent="0.25">
      <c r="Q75" s="6">
        <f t="shared" si="3"/>
        <v>2.6709517568934693E-4</v>
      </c>
      <c r="R75" s="6">
        <f t="shared" si="4"/>
        <v>0.13</v>
      </c>
      <c r="S75" s="8">
        <f t="shared" si="5"/>
        <v>0.28037126676348562</v>
      </c>
      <c r="T75" s="6">
        <f t="shared" si="6"/>
        <v>4.8903694429011019E-2</v>
      </c>
      <c r="U75" s="6">
        <f t="shared" si="7"/>
        <v>0.24</v>
      </c>
      <c r="V75" s="8">
        <f t="shared" si="8"/>
        <v>0.37988281565831206</v>
      </c>
      <c r="W75" s="6">
        <f t="shared" si="9"/>
        <v>2.135383361833687E-2</v>
      </c>
      <c r="X75" s="6">
        <f t="shared" si="10"/>
        <v>0.16</v>
      </c>
      <c r="Y75" s="8">
        <f t="shared" si="11"/>
        <v>0.32733631994986545</v>
      </c>
      <c r="Z75" s="6">
        <f t="shared" si="12"/>
        <v>2.9218818762108689E-3</v>
      </c>
      <c r="AA75" s="6">
        <f t="shared" si="13"/>
        <v>0.14000000000000001</v>
      </c>
      <c r="AB75" s="8">
        <f t="shared" si="14"/>
        <v>0.28674990373053411</v>
      </c>
      <c r="AC75" s="6">
        <f t="shared" si="15"/>
        <v>2.3728527259920917E-2</v>
      </c>
      <c r="AD75" s="6">
        <f t="shared" si="16"/>
        <v>0.2</v>
      </c>
      <c r="AE75" s="8">
        <f t="shared" si="17"/>
        <v>0.33218836524233741</v>
      </c>
      <c r="AF75" s="6">
        <f t="shared" si="18"/>
        <v>4.8988207055677413E-3</v>
      </c>
      <c r="AG75" s="6">
        <f t="shared" si="19"/>
        <v>0.13</v>
      </c>
      <c r="AH75" s="6">
        <f t="shared" si="20"/>
        <v>0.29139747559072854</v>
      </c>
    </row>
    <row r="76" spans="17:34" x14ac:dyDescent="0.25">
      <c r="Q76" s="6">
        <f t="shared" si="3"/>
        <v>2.6709517568934693E-4</v>
      </c>
      <c r="R76" s="6">
        <f t="shared" si="4"/>
        <v>0.13</v>
      </c>
      <c r="S76" s="8">
        <f t="shared" si="5"/>
        <v>0.28037126676348562</v>
      </c>
      <c r="T76" s="6">
        <f t="shared" si="6"/>
        <v>4.8903694429011019E-2</v>
      </c>
      <c r="U76" s="6">
        <f t="shared" si="7"/>
        <v>0.24</v>
      </c>
      <c r="V76" s="8">
        <f t="shared" si="8"/>
        <v>0.37988281565831206</v>
      </c>
      <c r="W76" s="6">
        <f t="shared" si="9"/>
        <v>2.135383361833687E-2</v>
      </c>
      <c r="X76" s="6">
        <f t="shared" si="10"/>
        <v>0.16</v>
      </c>
      <c r="Y76" s="8">
        <f t="shared" si="11"/>
        <v>0.32733631994986545</v>
      </c>
      <c r="Z76" s="6">
        <f t="shared" si="12"/>
        <v>2.9218818762108689E-3</v>
      </c>
      <c r="AA76" s="6">
        <f t="shared" si="13"/>
        <v>0.14000000000000001</v>
      </c>
      <c r="AB76" s="8">
        <f t="shared" si="14"/>
        <v>0.28674990373053411</v>
      </c>
      <c r="AC76" s="6">
        <f t="shared" si="15"/>
        <v>2.3728527259920917E-2</v>
      </c>
      <c r="AD76" s="6">
        <f t="shared" si="16"/>
        <v>0.2</v>
      </c>
      <c r="AE76" s="8">
        <f t="shared" si="17"/>
        <v>0.33218836524233741</v>
      </c>
      <c r="AF76" s="6">
        <f t="shared" si="18"/>
        <v>4.8988207055677413E-3</v>
      </c>
      <c r="AG76" s="6">
        <f t="shared" si="19"/>
        <v>0.13</v>
      </c>
      <c r="AH76" s="6">
        <f t="shared" si="20"/>
        <v>0.29139747559072854</v>
      </c>
    </row>
    <row r="77" spans="17:34" x14ac:dyDescent="0.25">
      <c r="Q77" s="6">
        <f t="shared" si="3"/>
        <v>2.6709517568934693E-4</v>
      </c>
      <c r="R77" s="6">
        <f t="shared" si="4"/>
        <v>0.13</v>
      </c>
      <c r="S77" s="8">
        <f t="shared" si="5"/>
        <v>0.28037126676348562</v>
      </c>
      <c r="T77" s="6">
        <f t="shared" si="6"/>
        <v>4.8903694429011019E-2</v>
      </c>
      <c r="U77" s="6">
        <f t="shared" si="7"/>
        <v>0.24</v>
      </c>
      <c r="V77" s="8">
        <f t="shared" si="8"/>
        <v>0.37988281565831206</v>
      </c>
      <c r="W77" s="6">
        <f t="shared" si="9"/>
        <v>2.135383361833687E-2</v>
      </c>
      <c r="X77" s="6">
        <f t="shared" si="10"/>
        <v>0.16</v>
      </c>
      <c r="Y77" s="8">
        <f t="shared" si="11"/>
        <v>0.32733631994986545</v>
      </c>
      <c r="Z77" s="6">
        <f t="shared" si="12"/>
        <v>2.9218818762108689E-3</v>
      </c>
      <c r="AA77" s="6">
        <f t="shared" si="13"/>
        <v>0.14000000000000001</v>
      </c>
      <c r="AB77" s="8">
        <f t="shared" si="14"/>
        <v>0.28674990373053411</v>
      </c>
      <c r="AC77" s="6">
        <f t="shared" si="15"/>
        <v>2.3728527259920917E-2</v>
      </c>
      <c r="AD77" s="6">
        <f t="shared" si="16"/>
        <v>0.2</v>
      </c>
      <c r="AE77" s="8">
        <f t="shared" si="17"/>
        <v>0.33218836524233741</v>
      </c>
      <c r="AF77" s="6">
        <f t="shared" si="18"/>
        <v>4.8988207055677413E-3</v>
      </c>
      <c r="AG77" s="6">
        <f t="shared" si="19"/>
        <v>0.13</v>
      </c>
      <c r="AH77" s="6">
        <f t="shared" si="20"/>
        <v>0.29139747559072854</v>
      </c>
    </row>
    <row r="78" spans="17:34" x14ac:dyDescent="0.25">
      <c r="Q78" s="6">
        <f t="shared" si="3"/>
        <v>2.6709517568934693E-4</v>
      </c>
      <c r="R78" s="6">
        <f t="shared" si="4"/>
        <v>0.13</v>
      </c>
      <c r="S78" s="8">
        <f t="shared" si="5"/>
        <v>0.28037126676348562</v>
      </c>
      <c r="T78" s="6">
        <f t="shared" si="6"/>
        <v>4.8903694429011019E-2</v>
      </c>
      <c r="U78" s="6">
        <f t="shared" si="7"/>
        <v>0.24</v>
      </c>
      <c r="V78" s="8">
        <f t="shared" si="8"/>
        <v>0.37988281565831206</v>
      </c>
      <c r="W78" s="6">
        <f t="shared" si="9"/>
        <v>2.135383361833687E-2</v>
      </c>
      <c r="X78" s="6">
        <f t="shared" si="10"/>
        <v>0.16</v>
      </c>
      <c r="Y78" s="8">
        <f t="shared" si="11"/>
        <v>0.32733631994986545</v>
      </c>
      <c r="Z78" s="6">
        <f t="shared" si="12"/>
        <v>2.9218818762108689E-3</v>
      </c>
      <c r="AA78" s="6">
        <f t="shared" si="13"/>
        <v>0.14000000000000001</v>
      </c>
      <c r="AB78" s="8">
        <f t="shared" si="14"/>
        <v>0.28674990373053411</v>
      </c>
      <c r="AC78" s="6">
        <f t="shared" si="15"/>
        <v>2.3728527259920917E-2</v>
      </c>
      <c r="AD78" s="6">
        <f t="shared" si="16"/>
        <v>0.2</v>
      </c>
      <c r="AE78" s="8">
        <f t="shared" si="17"/>
        <v>0.33218836524233741</v>
      </c>
      <c r="AF78" s="6">
        <f t="shared" si="18"/>
        <v>4.8988207055677413E-3</v>
      </c>
      <c r="AG78" s="6">
        <f t="shared" si="19"/>
        <v>0.13</v>
      </c>
      <c r="AH78" s="6">
        <f t="shared" si="20"/>
        <v>0.29139747559072854</v>
      </c>
    </row>
    <row r="79" spans="17:34" x14ac:dyDescent="0.25">
      <c r="Q79" s="6">
        <f t="shared" si="3"/>
        <v>2.6709517568934693E-4</v>
      </c>
      <c r="R79" s="6">
        <f t="shared" si="4"/>
        <v>0.13</v>
      </c>
      <c r="S79" s="8">
        <f t="shared" si="5"/>
        <v>0.28037126676348562</v>
      </c>
      <c r="T79" s="6">
        <f t="shared" si="6"/>
        <v>4.8903694429011019E-2</v>
      </c>
      <c r="U79" s="6">
        <f t="shared" si="7"/>
        <v>0.24</v>
      </c>
      <c r="V79" s="8">
        <f t="shared" si="8"/>
        <v>0.37988281565831206</v>
      </c>
      <c r="W79" s="6">
        <f t="shared" si="9"/>
        <v>2.135383361833687E-2</v>
      </c>
      <c r="X79" s="6">
        <f t="shared" si="10"/>
        <v>0.16</v>
      </c>
      <c r="Y79" s="8">
        <f t="shared" si="11"/>
        <v>0.32733631994986545</v>
      </c>
      <c r="Z79" s="6">
        <f t="shared" si="12"/>
        <v>2.9218818762108689E-3</v>
      </c>
      <c r="AA79" s="6">
        <f t="shared" si="13"/>
        <v>0.14000000000000001</v>
      </c>
      <c r="AB79" s="8">
        <f t="shared" si="14"/>
        <v>0.28674990373053411</v>
      </c>
      <c r="AC79" s="6">
        <f t="shared" si="15"/>
        <v>2.3728527259920917E-2</v>
      </c>
      <c r="AD79" s="6">
        <f t="shared" si="16"/>
        <v>0.2</v>
      </c>
      <c r="AE79" s="8">
        <f t="shared" si="17"/>
        <v>0.33218836524233741</v>
      </c>
      <c r="AF79" s="6">
        <f t="shared" si="18"/>
        <v>4.8988207055677413E-3</v>
      </c>
      <c r="AG79" s="6">
        <f t="shared" si="19"/>
        <v>0.13</v>
      </c>
      <c r="AH79" s="6">
        <f t="shared" si="20"/>
        <v>0.29139747559072854</v>
      </c>
    </row>
    <row r="80" spans="17:34" x14ac:dyDescent="0.25">
      <c r="Q80" s="6">
        <f t="shared" si="3"/>
        <v>2.6709517568934693E-4</v>
      </c>
      <c r="R80" s="6">
        <f t="shared" si="4"/>
        <v>0.13</v>
      </c>
      <c r="S80" s="8">
        <f t="shared" si="5"/>
        <v>0.28037126676348562</v>
      </c>
      <c r="T80" s="6">
        <f t="shared" si="6"/>
        <v>4.8903694429011019E-2</v>
      </c>
      <c r="U80" s="6">
        <f t="shared" si="7"/>
        <v>0.24</v>
      </c>
      <c r="V80" s="8">
        <f t="shared" si="8"/>
        <v>0.37988281565831206</v>
      </c>
      <c r="W80" s="6">
        <f t="shared" si="9"/>
        <v>2.135383361833687E-2</v>
      </c>
      <c r="X80" s="6">
        <f t="shared" si="10"/>
        <v>0.16</v>
      </c>
      <c r="Y80" s="8">
        <f t="shared" si="11"/>
        <v>0.32733631994986545</v>
      </c>
      <c r="Z80" s="6">
        <f t="shared" si="12"/>
        <v>2.9218818762108689E-3</v>
      </c>
      <c r="AA80" s="6">
        <f t="shared" si="13"/>
        <v>0.14000000000000001</v>
      </c>
      <c r="AB80" s="8">
        <f t="shared" si="14"/>
        <v>0.28674990373053411</v>
      </c>
      <c r="AC80" s="6">
        <f t="shared" si="15"/>
        <v>2.3728527259920917E-2</v>
      </c>
      <c r="AD80" s="6">
        <f t="shared" si="16"/>
        <v>0.2</v>
      </c>
      <c r="AE80" s="8">
        <f t="shared" si="17"/>
        <v>0.33218836524233741</v>
      </c>
      <c r="AF80" s="6">
        <f t="shared" si="18"/>
        <v>4.8988207055677413E-3</v>
      </c>
      <c r="AG80" s="6">
        <f t="shared" si="19"/>
        <v>0.13</v>
      </c>
      <c r="AH80" s="6">
        <f t="shared" si="20"/>
        <v>0.29139747559072854</v>
      </c>
    </row>
    <row r="81" spans="17:34" x14ac:dyDescent="0.25">
      <c r="Q81" s="6">
        <f t="shared" si="3"/>
        <v>2.6709517568934693E-4</v>
      </c>
      <c r="R81" s="6">
        <f t="shared" si="4"/>
        <v>0.13</v>
      </c>
      <c r="S81" s="8">
        <f t="shared" si="5"/>
        <v>0.28037126676348562</v>
      </c>
      <c r="T81" s="6">
        <f t="shared" si="6"/>
        <v>4.8903694429011019E-2</v>
      </c>
      <c r="U81" s="6">
        <f t="shared" si="7"/>
        <v>0.24</v>
      </c>
      <c r="V81" s="8">
        <f t="shared" si="8"/>
        <v>0.37988281565831206</v>
      </c>
      <c r="W81" s="6">
        <f t="shared" si="9"/>
        <v>2.135383361833687E-2</v>
      </c>
      <c r="X81" s="6">
        <f t="shared" si="10"/>
        <v>0.16</v>
      </c>
      <c r="Y81" s="8">
        <f t="shared" si="11"/>
        <v>0.32733631994986545</v>
      </c>
      <c r="Z81" s="6">
        <f t="shared" si="12"/>
        <v>2.9218818762108689E-3</v>
      </c>
      <c r="AA81" s="6">
        <f t="shared" si="13"/>
        <v>0.14000000000000001</v>
      </c>
      <c r="AB81" s="8">
        <f t="shared" si="14"/>
        <v>0.28674990373053411</v>
      </c>
      <c r="AC81" s="6">
        <f t="shared" si="15"/>
        <v>2.3728527259920917E-2</v>
      </c>
      <c r="AD81" s="6">
        <f t="shared" si="16"/>
        <v>0.2</v>
      </c>
      <c r="AE81" s="8">
        <f t="shared" si="17"/>
        <v>0.33218836524233741</v>
      </c>
      <c r="AF81" s="6">
        <f t="shared" si="18"/>
        <v>4.8988207055677413E-3</v>
      </c>
      <c r="AG81" s="6">
        <f t="shared" si="19"/>
        <v>0.13</v>
      </c>
      <c r="AH81" s="6">
        <f t="shared" si="20"/>
        <v>0.29139747559072854</v>
      </c>
    </row>
    <row r="82" spans="17:34" x14ac:dyDescent="0.25">
      <c r="Q82" s="6">
        <f t="shared" si="3"/>
        <v>2.6709517568934693E-4</v>
      </c>
      <c r="R82" s="6">
        <f t="shared" si="4"/>
        <v>0.13</v>
      </c>
      <c r="S82" s="8">
        <f t="shared" si="5"/>
        <v>0.28037126676348562</v>
      </c>
      <c r="T82" s="6">
        <f t="shared" si="6"/>
        <v>4.8903694429011019E-2</v>
      </c>
      <c r="U82" s="6">
        <f t="shared" si="7"/>
        <v>0.24</v>
      </c>
      <c r="V82" s="8">
        <f t="shared" si="8"/>
        <v>0.37988281565831206</v>
      </c>
      <c r="W82" s="6">
        <f t="shared" si="9"/>
        <v>2.135383361833687E-2</v>
      </c>
      <c r="X82" s="6">
        <f t="shared" si="10"/>
        <v>0.16</v>
      </c>
      <c r="Y82" s="8">
        <f t="shared" si="11"/>
        <v>0.32733631994986545</v>
      </c>
      <c r="Z82" s="6">
        <f t="shared" si="12"/>
        <v>2.9218818762108689E-3</v>
      </c>
      <c r="AA82" s="6">
        <f t="shared" si="13"/>
        <v>0.14000000000000001</v>
      </c>
      <c r="AB82" s="8">
        <f t="shared" si="14"/>
        <v>0.28674990373053411</v>
      </c>
      <c r="AC82" s="6">
        <f t="shared" si="15"/>
        <v>2.3728527259920917E-2</v>
      </c>
      <c r="AD82" s="6">
        <f t="shared" si="16"/>
        <v>0.2</v>
      </c>
      <c r="AE82" s="8">
        <f t="shared" si="17"/>
        <v>0.33218836524233741</v>
      </c>
      <c r="AF82" s="6">
        <f t="shared" si="18"/>
        <v>4.8988207055677413E-3</v>
      </c>
      <c r="AG82" s="6">
        <f t="shared" si="19"/>
        <v>0.13</v>
      </c>
      <c r="AH82" s="6">
        <f t="shared" si="20"/>
        <v>0.29139747559072854</v>
      </c>
    </row>
    <row r="83" spans="17:34" x14ac:dyDescent="0.25">
      <c r="Q83" s="6">
        <f t="shared" si="3"/>
        <v>2.6709517568934693E-4</v>
      </c>
      <c r="R83" s="6">
        <f t="shared" si="4"/>
        <v>0.13</v>
      </c>
      <c r="S83" s="8">
        <f t="shared" si="5"/>
        <v>0.28037126676348562</v>
      </c>
      <c r="T83" s="6">
        <f t="shared" si="6"/>
        <v>4.8903694429011019E-2</v>
      </c>
      <c r="U83" s="6">
        <f t="shared" si="7"/>
        <v>0.24</v>
      </c>
      <c r="V83" s="8">
        <f t="shared" si="8"/>
        <v>0.37988281565831206</v>
      </c>
      <c r="W83" s="6">
        <f t="shared" si="9"/>
        <v>2.135383361833687E-2</v>
      </c>
      <c r="X83" s="6">
        <f t="shared" si="10"/>
        <v>0.16</v>
      </c>
      <c r="Y83" s="8">
        <f t="shared" si="11"/>
        <v>0.32733631994986545</v>
      </c>
      <c r="Z83" s="6">
        <f t="shared" si="12"/>
        <v>2.9218818762108689E-3</v>
      </c>
      <c r="AA83" s="6">
        <f t="shared" si="13"/>
        <v>0.14000000000000001</v>
      </c>
      <c r="AB83" s="8">
        <f t="shared" si="14"/>
        <v>0.28674990373053411</v>
      </c>
      <c r="AC83" s="6">
        <f t="shared" si="15"/>
        <v>2.3728527259920917E-2</v>
      </c>
      <c r="AD83" s="6">
        <f t="shared" si="16"/>
        <v>0.2</v>
      </c>
      <c r="AE83" s="8">
        <f t="shared" si="17"/>
        <v>0.33218836524233741</v>
      </c>
      <c r="AF83" s="6">
        <f t="shared" si="18"/>
        <v>4.8988207055677413E-3</v>
      </c>
      <c r="AG83" s="6">
        <f t="shared" si="19"/>
        <v>0.13</v>
      </c>
      <c r="AH83" s="6">
        <f t="shared" si="20"/>
        <v>0.29139747559072854</v>
      </c>
    </row>
    <row r="84" spans="17:34" x14ac:dyDescent="0.25">
      <c r="Q84" s="6">
        <f t="shared" si="3"/>
        <v>2.6709517568934693E-4</v>
      </c>
      <c r="R84" s="6">
        <f t="shared" si="4"/>
        <v>0.13</v>
      </c>
      <c r="S84" s="8">
        <f t="shared" si="5"/>
        <v>0.28037126676348562</v>
      </c>
      <c r="T84" s="6">
        <f t="shared" si="6"/>
        <v>4.8903694429011019E-2</v>
      </c>
      <c r="U84" s="6">
        <f t="shared" si="7"/>
        <v>0.24</v>
      </c>
      <c r="V84" s="8">
        <f t="shared" si="8"/>
        <v>0.37988281565831206</v>
      </c>
      <c r="W84" s="6">
        <f t="shared" si="9"/>
        <v>2.135383361833687E-2</v>
      </c>
      <c r="X84" s="6">
        <f t="shared" si="10"/>
        <v>0.16</v>
      </c>
      <c r="Y84" s="8">
        <f t="shared" si="11"/>
        <v>0.32733631994986545</v>
      </c>
      <c r="Z84" s="6">
        <f t="shared" si="12"/>
        <v>2.9218818762108689E-3</v>
      </c>
      <c r="AA84" s="6">
        <f t="shared" si="13"/>
        <v>0.14000000000000001</v>
      </c>
      <c r="AB84" s="8">
        <f t="shared" si="14"/>
        <v>0.28674990373053411</v>
      </c>
      <c r="AC84" s="6">
        <f t="shared" si="15"/>
        <v>2.3728527259920917E-2</v>
      </c>
      <c r="AD84" s="6">
        <f t="shared" si="16"/>
        <v>0.2</v>
      </c>
      <c r="AE84" s="8">
        <f t="shared" si="17"/>
        <v>0.33218836524233741</v>
      </c>
      <c r="AF84" s="6">
        <f t="shared" si="18"/>
        <v>4.8988207055677413E-3</v>
      </c>
      <c r="AG84" s="6">
        <f t="shared" si="19"/>
        <v>0.13</v>
      </c>
      <c r="AH84" s="6">
        <f t="shared" si="20"/>
        <v>0.29139747559072854</v>
      </c>
    </row>
    <row r="85" spans="17:34" x14ac:dyDescent="0.25"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</row>
  </sheetData>
  <mergeCells count="6">
    <mergeCell ref="AF23:AH23"/>
    <mergeCell ref="Q23:S23"/>
    <mergeCell ref="T23:V23"/>
    <mergeCell ref="W23:Y23"/>
    <mergeCell ref="Z23:AB23"/>
    <mergeCell ref="AC23:AE23"/>
  </mergeCells>
  <hyperlinks>
    <hyperlink ref="U2" r:id="rId1" xr:uid="{DF9F24C4-133D-4858-A6D2-DCE478EA20AD}"/>
  </hyperlinks>
  <pageMargins left="0.7" right="0.7" top="0.75" bottom="0.75" header="0.3" footer="0.3"/>
  <pageSetup orientation="portrait"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ADF35-976C-474F-B837-47C46F9808D4}">
  <dimension ref="A2:L37"/>
  <sheetViews>
    <sheetView workbookViewId="0">
      <selection activeCell="J18" sqref="J18"/>
    </sheetView>
  </sheetViews>
  <sheetFormatPr defaultRowHeight="15" x14ac:dyDescent="0.25"/>
  <cols>
    <col min="2" max="9" width="11" customWidth="1"/>
  </cols>
  <sheetData>
    <row r="2" spans="1:12" x14ac:dyDescent="0.25">
      <c r="A2" t="s">
        <v>49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</row>
    <row r="3" spans="1:12" x14ac:dyDescent="0.25">
      <c r="A3">
        <v>1</v>
      </c>
      <c r="B3">
        <v>56</v>
      </c>
      <c r="C3">
        <v>55</v>
      </c>
      <c r="D3">
        <v>52</v>
      </c>
      <c r="E3">
        <v>56</v>
      </c>
      <c r="F3">
        <v>54.75</v>
      </c>
      <c r="G3">
        <v>4</v>
      </c>
      <c r="H3">
        <v>48.399000000000001</v>
      </c>
      <c r="I3">
        <v>3.536</v>
      </c>
      <c r="K3" t="s">
        <v>20</v>
      </c>
    </row>
    <row r="4" spans="1:12" x14ac:dyDescent="0.25">
      <c r="A4">
        <v>2</v>
      </c>
      <c r="B4">
        <v>58</v>
      </c>
      <c r="C4">
        <v>57</v>
      </c>
      <c r="D4">
        <v>55</v>
      </c>
      <c r="E4">
        <v>56</v>
      </c>
      <c r="F4">
        <v>56.5</v>
      </c>
      <c r="G4">
        <v>2</v>
      </c>
      <c r="H4">
        <v>49.945999999999998</v>
      </c>
      <c r="I4">
        <v>1.768</v>
      </c>
      <c r="K4" t="s">
        <v>18</v>
      </c>
    </row>
    <row r="5" spans="1:12" x14ac:dyDescent="0.25">
      <c r="A5">
        <v>3</v>
      </c>
      <c r="B5">
        <v>54</v>
      </c>
      <c r="C5">
        <v>55</v>
      </c>
      <c r="D5">
        <v>54</v>
      </c>
      <c r="E5">
        <v>56</v>
      </c>
      <c r="F5">
        <v>54.75</v>
      </c>
      <c r="G5">
        <v>2</v>
      </c>
      <c r="H5">
        <v>48.399000000000001</v>
      </c>
      <c r="I5">
        <v>1.768</v>
      </c>
      <c r="K5" t="s">
        <v>19</v>
      </c>
    </row>
    <row r="6" spans="1:12" x14ac:dyDescent="0.25">
      <c r="A6">
        <v>4</v>
      </c>
      <c r="B6">
        <v>55</v>
      </c>
      <c r="C6">
        <v>55</v>
      </c>
      <c r="D6">
        <v>55</v>
      </c>
      <c r="E6">
        <v>55</v>
      </c>
      <c r="F6">
        <v>55</v>
      </c>
      <c r="G6">
        <v>0</v>
      </c>
      <c r="H6">
        <v>48.62</v>
      </c>
      <c r="I6">
        <v>0</v>
      </c>
      <c r="K6" t="s">
        <v>17</v>
      </c>
    </row>
    <row r="7" spans="1:12" x14ac:dyDescent="0.25">
      <c r="A7">
        <v>5</v>
      </c>
      <c r="B7">
        <v>52</v>
      </c>
      <c r="C7">
        <v>53</v>
      </c>
      <c r="D7">
        <v>57</v>
      </c>
      <c r="E7">
        <v>55</v>
      </c>
      <c r="F7">
        <v>54.25</v>
      </c>
      <c r="G7">
        <v>5</v>
      </c>
      <c r="H7">
        <v>47.957000000000001</v>
      </c>
      <c r="I7">
        <v>4.42</v>
      </c>
    </row>
    <row r="8" spans="1:12" x14ac:dyDescent="0.25">
      <c r="A8">
        <v>6</v>
      </c>
      <c r="B8">
        <v>56</v>
      </c>
      <c r="C8">
        <v>55</v>
      </c>
      <c r="D8">
        <v>56</v>
      </c>
      <c r="E8">
        <v>57</v>
      </c>
      <c r="F8">
        <v>56</v>
      </c>
      <c r="G8">
        <v>2</v>
      </c>
      <c r="H8">
        <v>49.503999999999998</v>
      </c>
      <c r="I8">
        <v>1.768</v>
      </c>
    </row>
    <row r="9" spans="1:12" x14ac:dyDescent="0.25">
      <c r="A9">
        <v>7</v>
      </c>
      <c r="B9">
        <v>57</v>
      </c>
      <c r="C9">
        <v>56</v>
      </c>
      <c r="D9">
        <v>56</v>
      </c>
      <c r="E9">
        <v>54</v>
      </c>
      <c r="F9">
        <v>55.75</v>
      </c>
      <c r="G9">
        <v>3</v>
      </c>
      <c r="H9">
        <v>49.283000000000001</v>
      </c>
      <c r="I9">
        <v>2.6520000000000001</v>
      </c>
    </row>
    <row r="10" spans="1:12" x14ac:dyDescent="0.25">
      <c r="A10">
        <v>8</v>
      </c>
      <c r="B10">
        <v>57</v>
      </c>
      <c r="C10">
        <v>56</v>
      </c>
      <c r="D10">
        <v>54</v>
      </c>
      <c r="E10">
        <v>55</v>
      </c>
      <c r="F10">
        <v>55.5</v>
      </c>
      <c r="G10">
        <v>3</v>
      </c>
      <c r="H10">
        <v>49.061999999999998</v>
      </c>
      <c r="I10">
        <v>2.625</v>
      </c>
    </row>
    <row r="11" spans="1:12" x14ac:dyDescent="0.25">
      <c r="A11">
        <v>9</v>
      </c>
      <c r="B11">
        <v>57</v>
      </c>
      <c r="C11">
        <v>55</v>
      </c>
      <c r="D11">
        <v>55</v>
      </c>
      <c r="E11">
        <v>56</v>
      </c>
      <c r="F11">
        <v>55.75</v>
      </c>
      <c r="G11">
        <v>2</v>
      </c>
      <c r="H11">
        <v>49.283000000000001</v>
      </c>
      <c r="I11">
        <v>1.768</v>
      </c>
    </row>
    <row r="12" spans="1:12" x14ac:dyDescent="0.25">
      <c r="A12">
        <v>10</v>
      </c>
      <c r="B12">
        <v>55</v>
      </c>
      <c r="C12">
        <v>55</v>
      </c>
      <c r="D12">
        <v>57</v>
      </c>
      <c r="E12">
        <v>56</v>
      </c>
      <c r="F12">
        <v>55.75</v>
      </c>
      <c r="G12">
        <v>2</v>
      </c>
      <c r="H12">
        <v>49.283000000000001</v>
      </c>
      <c r="I12">
        <v>1.768</v>
      </c>
    </row>
    <row r="13" spans="1:12" x14ac:dyDescent="0.25">
      <c r="A13">
        <v>11</v>
      </c>
      <c r="B13">
        <v>54</v>
      </c>
      <c r="C13">
        <v>55</v>
      </c>
      <c r="D13">
        <v>57</v>
      </c>
      <c r="E13">
        <v>54</v>
      </c>
      <c r="F13">
        <v>55</v>
      </c>
      <c r="G13">
        <v>3</v>
      </c>
      <c r="H13">
        <v>48.62</v>
      </c>
      <c r="I13">
        <v>2.6520000000000001</v>
      </c>
      <c r="K13" t="s">
        <v>13</v>
      </c>
    </row>
    <row r="14" spans="1:12" x14ac:dyDescent="0.25">
      <c r="A14">
        <v>12</v>
      </c>
      <c r="B14">
        <v>53</v>
      </c>
      <c r="C14">
        <v>55</v>
      </c>
      <c r="D14">
        <v>57</v>
      </c>
      <c r="E14">
        <v>53</v>
      </c>
      <c r="F14">
        <v>54.5</v>
      </c>
      <c r="G14">
        <v>4</v>
      </c>
      <c r="H14">
        <v>48.177999999999997</v>
      </c>
      <c r="I14">
        <v>3.536</v>
      </c>
      <c r="K14" s="1" t="s">
        <v>14</v>
      </c>
      <c r="L14" s="2">
        <v>0.72899999999999998</v>
      </c>
    </row>
    <row r="15" spans="1:12" x14ac:dyDescent="0.25">
      <c r="A15">
        <v>13</v>
      </c>
      <c r="B15">
        <v>57</v>
      </c>
      <c r="C15">
        <v>58</v>
      </c>
      <c r="D15">
        <v>56</v>
      </c>
      <c r="E15">
        <v>55</v>
      </c>
      <c r="F15">
        <v>56.5</v>
      </c>
      <c r="G15">
        <v>3</v>
      </c>
      <c r="H15">
        <v>49.945999999999998</v>
      </c>
      <c r="I15">
        <v>2.6520000000000001</v>
      </c>
      <c r="K15" s="1" t="s">
        <v>15</v>
      </c>
      <c r="L15" s="2">
        <v>0</v>
      </c>
    </row>
    <row r="16" spans="1:12" x14ac:dyDescent="0.25">
      <c r="A16">
        <v>14</v>
      </c>
      <c r="B16">
        <v>55</v>
      </c>
      <c r="C16">
        <v>56</v>
      </c>
      <c r="D16">
        <v>56</v>
      </c>
      <c r="E16">
        <v>54</v>
      </c>
      <c r="F16">
        <v>55.25</v>
      </c>
      <c r="G16">
        <v>2</v>
      </c>
      <c r="H16">
        <v>48.841000000000001</v>
      </c>
      <c r="I16">
        <v>1.768</v>
      </c>
      <c r="K16" s="1" t="s">
        <v>16</v>
      </c>
      <c r="L16" s="2">
        <v>2.282</v>
      </c>
    </row>
    <row r="17" spans="1:11" x14ac:dyDescent="0.25">
      <c r="A17">
        <v>15</v>
      </c>
      <c r="B17">
        <v>55</v>
      </c>
      <c r="C17">
        <v>55</v>
      </c>
      <c r="D17">
        <v>56</v>
      </c>
      <c r="E17">
        <v>54</v>
      </c>
      <c r="F17">
        <v>55</v>
      </c>
      <c r="G17">
        <v>2</v>
      </c>
      <c r="H17">
        <v>48.62</v>
      </c>
      <c r="I17">
        <v>1.768</v>
      </c>
    </row>
    <row r="18" spans="1:11" x14ac:dyDescent="0.25">
      <c r="H18">
        <f>AVERAGE(Table1[Average Weight])</f>
        <v>48.929400000000001</v>
      </c>
      <c r="I18">
        <f>AVERAGE(Table1[Average Range])</f>
        <v>2.2966000000000002</v>
      </c>
    </row>
    <row r="19" spans="1:11" x14ac:dyDescent="0.25">
      <c r="H19" t="s">
        <v>21</v>
      </c>
      <c r="I19" t="s">
        <v>22</v>
      </c>
    </row>
    <row r="21" spans="1:11" x14ac:dyDescent="0.25">
      <c r="E21" s="10" t="s">
        <v>8</v>
      </c>
      <c r="F21" s="10"/>
      <c r="G21" s="10"/>
      <c r="I21" s="10" t="s">
        <v>12</v>
      </c>
      <c r="J21" s="10"/>
      <c r="K21" s="10"/>
    </row>
    <row r="22" spans="1:11" x14ac:dyDescent="0.25">
      <c r="B22" t="s">
        <v>24</v>
      </c>
      <c r="C22" t="s">
        <v>25</v>
      </c>
      <c r="E22" t="s">
        <v>9</v>
      </c>
      <c r="F22" t="s">
        <v>10</v>
      </c>
      <c r="G22" t="s">
        <v>11</v>
      </c>
      <c r="I22" t="s">
        <v>9</v>
      </c>
      <c r="J22" t="s">
        <v>10</v>
      </c>
      <c r="K22" t="s">
        <v>11</v>
      </c>
    </row>
    <row r="23" spans="1:11" x14ac:dyDescent="0.25">
      <c r="C23" t="s">
        <v>23</v>
      </c>
      <c r="E23" s="3">
        <f>$H$18-$L$14*$I$18</f>
        <v>47.255178600000001</v>
      </c>
      <c r="F23" s="3">
        <f>$H$18</f>
        <v>48.929400000000001</v>
      </c>
      <c r="G23" s="3">
        <f>$H$18+$L$14*$I$18</f>
        <v>50.603621400000002</v>
      </c>
      <c r="I23">
        <f>$L$15*$I$18</f>
        <v>0</v>
      </c>
      <c r="J23" s="3">
        <f>$I$18</f>
        <v>2.2966000000000002</v>
      </c>
      <c r="K23" s="3">
        <f>$L$16*$I$18</f>
        <v>5.2408412000000002</v>
      </c>
    </row>
    <row r="24" spans="1:11" x14ac:dyDescent="0.25">
      <c r="E24" s="3">
        <f t="shared" ref="E24:E37" si="0">$H$18-$L$14*$I$18</f>
        <v>47.255178600000001</v>
      </c>
      <c r="F24" s="3">
        <f t="shared" ref="F24:F37" si="1">$H$18</f>
        <v>48.929400000000001</v>
      </c>
      <c r="G24" s="3">
        <f t="shared" ref="G24:G37" si="2">$H$18+$L$14*$I$18</f>
        <v>50.603621400000002</v>
      </c>
      <c r="I24">
        <f t="shared" ref="I24:I37" si="3">$L$15*$I$18</f>
        <v>0</v>
      </c>
      <c r="J24" s="3">
        <f t="shared" ref="J24:J37" si="4">$I$18</f>
        <v>2.2966000000000002</v>
      </c>
      <c r="K24" s="3">
        <f t="shared" ref="K24:K37" si="5">$L$16*$I$18</f>
        <v>5.2408412000000002</v>
      </c>
    </row>
    <row r="25" spans="1:11" x14ac:dyDescent="0.25">
      <c r="B25" t="s">
        <v>22</v>
      </c>
      <c r="C25" t="s">
        <v>11</v>
      </c>
      <c r="D25" t="s">
        <v>26</v>
      </c>
      <c r="E25" s="3">
        <f t="shared" si="0"/>
        <v>47.255178600000001</v>
      </c>
      <c r="F25" s="3">
        <f t="shared" si="1"/>
        <v>48.929400000000001</v>
      </c>
      <c r="G25" s="3">
        <f t="shared" si="2"/>
        <v>50.603621400000002</v>
      </c>
      <c r="I25">
        <f t="shared" si="3"/>
        <v>0</v>
      </c>
      <c r="J25" s="3">
        <f t="shared" si="4"/>
        <v>2.2966000000000002</v>
      </c>
      <c r="K25" s="3">
        <f t="shared" si="5"/>
        <v>5.2408412000000002</v>
      </c>
    </row>
    <row r="26" spans="1:11" x14ac:dyDescent="0.25">
      <c r="C26" t="s">
        <v>9</v>
      </c>
      <c r="D26" t="s">
        <v>27</v>
      </c>
      <c r="E26" s="3">
        <f t="shared" si="0"/>
        <v>47.255178600000001</v>
      </c>
      <c r="F26" s="3">
        <f t="shared" si="1"/>
        <v>48.929400000000001</v>
      </c>
      <c r="G26" s="3">
        <f t="shared" si="2"/>
        <v>50.603621400000002</v>
      </c>
      <c r="I26">
        <f t="shared" si="3"/>
        <v>0</v>
      </c>
      <c r="J26" s="3">
        <f t="shared" si="4"/>
        <v>2.2966000000000002</v>
      </c>
      <c r="K26" s="3">
        <f t="shared" si="5"/>
        <v>5.2408412000000002</v>
      </c>
    </row>
    <row r="27" spans="1:11" x14ac:dyDescent="0.25">
      <c r="E27" s="3">
        <f t="shared" si="0"/>
        <v>47.255178600000001</v>
      </c>
      <c r="F27" s="3">
        <f t="shared" si="1"/>
        <v>48.929400000000001</v>
      </c>
      <c r="G27" s="3">
        <f t="shared" si="2"/>
        <v>50.603621400000002</v>
      </c>
      <c r="I27">
        <f t="shared" si="3"/>
        <v>0</v>
      </c>
      <c r="J27" s="3">
        <f t="shared" si="4"/>
        <v>2.2966000000000002</v>
      </c>
      <c r="K27" s="3">
        <f t="shared" si="5"/>
        <v>5.2408412000000002</v>
      </c>
    </row>
    <row r="28" spans="1:11" x14ac:dyDescent="0.25">
      <c r="E28" s="3">
        <f t="shared" si="0"/>
        <v>47.255178600000001</v>
      </c>
      <c r="F28" s="3">
        <f t="shared" si="1"/>
        <v>48.929400000000001</v>
      </c>
      <c r="G28" s="3">
        <f t="shared" si="2"/>
        <v>50.603621400000002</v>
      </c>
      <c r="I28">
        <f t="shared" si="3"/>
        <v>0</v>
      </c>
      <c r="J28" s="3">
        <f t="shared" si="4"/>
        <v>2.2966000000000002</v>
      </c>
      <c r="K28" s="3">
        <f t="shared" si="5"/>
        <v>5.2408412000000002</v>
      </c>
    </row>
    <row r="29" spans="1:11" x14ac:dyDescent="0.25">
      <c r="E29" s="3">
        <f t="shared" si="0"/>
        <v>47.255178600000001</v>
      </c>
      <c r="F29" s="3">
        <f t="shared" si="1"/>
        <v>48.929400000000001</v>
      </c>
      <c r="G29" s="3">
        <f t="shared" si="2"/>
        <v>50.603621400000002</v>
      </c>
      <c r="I29">
        <f t="shared" si="3"/>
        <v>0</v>
      </c>
      <c r="J29" s="3">
        <f t="shared" si="4"/>
        <v>2.2966000000000002</v>
      </c>
      <c r="K29" s="3">
        <f t="shared" si="5"/>
        <v>5.2408412000000002</v>
      </c>
    </row>
    <row r="30" spans="1:11" x14ac:dyDescent="0.25">
      <c r="E30" s="3">
        <f t="shared" si="0"/>
        <v>47.255178600000001</v>
      </c>
      <c r="F30" s="3">
        <f t="shared" si="1"/>
        <v>48.929400000000001</v>
      </c>
      <c r="G30" s="3">
        <f t="shared" si="2"/>
        <v>50.603621400000002</v>
      </c>
      <c r="I30">
        <f t="shared" si="3"/>
        <v>0</v>
      </c>
      <c r="J30" s="3">
        <f t="shared" si="4"/>
        <v>2.2966000000000002</v>
      </c>
      <c r="K30" s="3">
        <f t="shared" si="5"/>
        <v>5.2408412000000002</v>
      </c>
    </row>
    <row r="31" spans="1:11" x14ac:dyDescent="0.25">
      <c r="E31" s="3">
        <f t="shared" si="0"/>
        <v>47.255178600000001</v>
      </c>
      <c r="F31" s="3">
        <f t="shared" si="1"/>
        <v>48.929400000000001</v>
      </c>
      <c r="G31" s="3">
        <f t="shared" si="2"/>
        <v>50.603621400000002</v>
      </c>
      <c r="I31">
        <f t="shared" si="3"/>
        <v>0</v>
      </c>
      <c r="J31" s="3">
        <f t="shared" si="4"/>
        <v>2.2966000000000002</v>
      </c>
      <c r="K31" s="3">
        <f t="shared" si="5"/>
        <v>5.2408412000000002</v>
      </c>
    </row>
    <row r="32" spans="1:11" x14ac:dyDescent="0.25">
      <c r="E32" s="3">
        <f t="shared" si="0"/>
        <v>47.255178600000001</v>
      </c>
      <c r="F32" s="3">
        <f t="shared" si="1"/>
        <v>48.929400000000001</v>
      </c>
      <c r="G32" s="3">
        <f t="shared" si="2"/>
        <v>50.603621400000002</v>
      </c>
      <c r="I32">
        <f t="shared" si="3"/>
        <v>0</v>
      </c>
      <c r="J32" s="3">
        <f t="shared" si="4"/>
        <v>2.2966000000000002</v>
      </c>
      <c r="K32" s="3">
        <f t="shared" si="5"/>
        <v>5.2408412000000002</v>
      </c>
    </row>
    <row r="33" spans="5:11" x14ac:dyDescent="0.25">
      <c r="E33" s="3">
        <f t="shared" si="0"/>
        <v>47.255178600000001</v>
      </c>
      <c r="F33" s="3">
        <f t="shared" si="1"/>
        <v>48.929400000000001</v>
      </c>
      <c r="G33" s="3">
        <f t="shared" si="2"/>
        <v>50.603621400000002</v>
      </c>
      <c r="I33">
        <f t="shared" si="3"/>
        <v>0</v>
      </c>
      <c r="J33" s="3">
        <f t="shared" si="4"/>
        <v>2.2966000000000002</v>
      </c>
      <c r="K33" s="3">
        <f t="shared" si="5"/>
        <v>5.2408412000000002</v>
      </c>
    </row>
    <row r="34" spans="5:11" x14ac:dyDescent="0.25">
      <c r="E34" s="3">
        <f t="shared" si="0"/>
        <v>47.255178600000001</v>
      </c>
      <c r="F34" s="3">
        <f t="shared" si="1"/>
        <v>48.929400000000001</v>
      </c>
      <c r="G34" s="3">
        <f t="shared" si="2"/>
        <v>50.603621400000002</v>
      </c>
      <c r="I34">
        <f t="shared" si="3"/>
        <v>0</v>
      </c>
      <c r="J34" s="3">
        <f t="shared" si="4"/>
        <v>2.2966000000000002</v>
      </c>
      <c r="K34" s="3">
        <f t="shared" si="5"/>
        <v>5.2408412000000002</v>
      </c>
    </row>
    <row r="35" spans="5:11" x14ac:dyDescent="0.25">
      <c r="E35" s="3">
        <f t="shared" si="0"/>
        <v>47.255178600000001</v>
      </c>
      <c r="F35" s="3">
        <f t="shared" si="1"/>
        <v>48.929400000000001</v>
      </c>
      <c r="G35" s="3">
        <f t="shared" si="2"/>
        <v>50.603621400000002</v>
      </c>
      <c r="I35">
        <f t="shared" si="3"/>
        <v>0</v>
      </c>
      <c r="J35" s="3">
        <f t="shared" si="4"/>
        <v>2.2966000000000002</v>
      </c>
      <c r="K35" s="3">
        <f t="shared" si="5"/>
        <v>5.2408412000000002</v>
      </c>
    </row>
    <row r="36" spans="5:11" x14ac:dyDescent="0.25">
      <c r="E36" s="3">
        <f t="shared" si="0"/>
        <v>47.255178600000001</v>
      </c>
      <c r="F36" s="3">
        <f t="shared" si="1"/>
        <v>48.929400000000001</v>
      </c>
      <c r="G36" s="3">
        <f t="shared" si="2"/>
        <v>50.603621400000002</v>
      </c>
      <c r="I36">
        <f t="shared" si="3"/>
        <v>0</v>
      </c>
      <c r="J36" s="3">
        <f t="shared" si="4"/>
        <v>2.2966000000000002</v>
      </c>
      <c r="K36" s="3">
        <f t="shared" si="5"/>
        <v>5.2408412000000002</v>
      </c>
    </row>
    <row r="37" spans="5:11" x14ac:dyDescent="0.25">
      <c r="E37" s="3">
        <f t="shared" si="0"/>
        <v>47.255178600000001</v>
      </c>
      <c r="F37" s="3">
        <f t="shared" si="1"/>
        <v>48.929400000000001</v>
      </c>
      <c r="G37" s="3">
        <f t="shared" si="2"/>
        <v>50.603621400000002</v>
      </c>
      <c r="I37">
        <f t="shared" si="3"/>
        <v>0</v>
      </c>
      <c r="J37" s="3">
        <f t="shared" si="4"/>
        <v>2.2966000000000002</v>
      </c>
      <c r="K37" s="3">
        <f t="shared" si="5"/>
        <v>5.2408412000000002</v>
      </c>
    </row>
  </sheetData>
  <mergeCells count="2">
    <mergeCell ref="E21:G21"/>
    <mergeCell ref="I21:K2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1AD16-B56B-49DF-895C-E259C5BCC2AF}">
  <sheetPr>
    <tabColor rgb="FFFF0000"/>
  </sheetPr>
  <dimension ref="A1"/>
  <sheetViews>
    <sheetView workbookViewId="0">
      <selection activeCell="E34" sqref="E3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56C5A-0D54-4AF5-BE9C-CA272325CC5E}">
  <sheetPr>
    <tabColor rgb="FF0070C0"/>
  </sheetPr>
  <dimension ref="A1"/>
  <sheetViews>
    <sheetView workbookViewId="0">
      <selection activeCell="F35" sqref="F3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56844-6415-4894-A8E4-CD973EE233BD}">
  <sheetPr>
    <tabColor rgb="FF00B050"/>
  </sheetPr>
  <dimension ref="A1"/>
  <sheetViews>
    <sheetView workbookViewId="0">
      <selection activeCell="G34" sqref="G3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CD0F2-22F2-49E2-810A-ED21F6EE4D83}">
  <sheetPr>
    <tabColor rgb="FFFFFF00"/>
  </sheetPr>
  <dimension ref="A1"/>
  <sheetViews>
    <sheetView workbookViewId="0">
      <selection activeCell="G39" sqref="G3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873B3-5630-4865-838A-60B6E7E4E23E}">
  <sheetPr>
    <tabColor rgb="FFFFC000"/>
  </sheetPr>
  <dimension ref="A1"/>
  <sheetViews>
    <sheetView zoomScaleNormal="100" workbookViewId="0">
      <selection activeCell="G33" sqref="G3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0BB70-7A4B-49D1-836B-F25212F091B3}">
  <sheetPr>
    <tabColor theme="5" tint="-0.499984740745262"/>
  </sheetPr>
  <dimension ref="A1"/>
  <sheetViews>
    <sheetView workbookViewId="0">
      <selection activeCell="D32" sqref="D3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M&amp;M Data</vt:lpstr>
      <vt:lpstr>X and R Chart</vt:lpstr>
      <vt:lpstr>Red</vt:lpstr>
      <vt:lpstr>Blue</vt:lpstr>
      <vt:lpstr>Green</vt:lpstr>
      <vt:lpstr>Yellow</vt:lpstr>
      <vt:lpstr>Orange</vt:lpstr>
      <vt:lpstr>Brown</vt:lpstr>
    </vt:vector>
  </TitlesOfParts>
  <Company>Florida Gulf Coast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Orth</dc:creator>
  <cp:lastModifiedBy>Jonathan Orth</cp:lastModifiedBy>
  <dcterms:created xsi:type="dcterms:W3CDTF">2022-01-25T16:27:07Z</dcterms:created>
  <dcterms:modified xsi:type="dcterms:W3CDTF">2026-01-19T17:10:18Z</dcterms:modified>
</cp:coreProperties>
</file>